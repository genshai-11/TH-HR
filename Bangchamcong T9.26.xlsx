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556" activeTab="2"/>
  </bookViews>
  <sheets>
    <sheet name="TimeSheet" sheetId="2" r:id="rId1"/>
    <sheet name="Tổng NV" sheetId="3" r:id="rId2"/>
    <sheet name="Tổng từng NV" sheetId="4" r:id="rId3"/>
    <sheet name="Danh sách NV" sheetId="5" r:id="rId4"/>
    <sheet name="VU" sheetId="6" r:id="rId5"/>
  </sheets>
  <definedNames>
    <definedName name="Slicer_Tên_NV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<sst xmlns="http://schemas.openxmlformats.org/spreadsheetml/2006/main" count="242" uniqueCount="88">
  <si>
    <t>STT</t>
  </si>
  <si>
    <t>Ngày</t>
  </si>
  <si>
    <t>Tên NV</t>
  </si>
  <si>
    <t>Số Giờ</t>
  </si>
  <si>
    <t>Giờ vào sáng</t>
  </si>
  <si>
    <t>Giờ ra sáng</t>
  </si>
  <si>
    <t>Giờ vào chiều</t>
  </si>
  <si>
    <t>Giờ ra chiều</t>
  </si>
  <si>
    <t>Column1</t>
  </si>
  <si>
    <t>Column2</t>
  </si>
  <si>
    <t>Sung</t>
  </si>
  <si>
    <t xml:space="preserve">Phấn </t>
  </si>
  <si>
    <t>Chi</t>
  </si>
  <si>
    <t>Trân</t>
  </si>
  <si>
    <t>Tiến</t>
  </si>
  <si>
    <t>OFF</t>
  </si>
  <si>
    <t>Chẩn</t>
  </si>
  <si>
    <t>Gia</t>
  </si>
  <si>
    <t>Phúc</t>
  </si>
  <si>
    <t>Quý</t>
  </si>
  <si>
    <t>Hoàng</t>
  </si>
  <si>
    <t>Tý</t>
  </si>
  <si>
    <t>Lệ</t>
  </si>
  <si>
    <t>Phước</t>
  </si>
  <si>
    <t>TỔNG SỐ GIỜ THEO NHÂN VIÊN
THÁNG 9.2026</t>
  </si>
  <si>
    <t>Tổng Số Giờ/Tháng</t>
  </si>
  <si>
    <t xml:space="preserve"> </t>
  </si>
  <si>
    <t>Tổng giờ</t>
  </si>
  <si>
    <t>TỔNG SỐ GIỜ NHÂN VIÊN VÉ
THÁNG 9.2026</t>
  </si>
  <si>
    <t>TỔNG SỐ GIỜ NHÂN VIÊN HÀNG
THÁNG 9.2026</t>
  </si>
  <si>
    <t>TÊN NHÂN VIÊN</t>
  </si>
  <si>
    <t>TỔNG SỐ GIỜ/THÁNG</t>
  </si>
  <si>
    <t>CHI</t>
  </si>
  <si>
    <t>TIẾN</t>
  </si>
  <si>
    <t>PHẤN</t>
  </si>
  <si>
    <t>CHẨN</t>
  </si>
  <si>
    <t>SUNG</t>
  </si>
  <si>
    <t>TÝ</t>
  </si>
  <si>
    <t>TRÂN</t>
  </si>
  <si>
    <t>QUÝ</t>
  </si>
  <si>
    <t>LỆ</t>
  </si>
  <si>
    <t>HOÀNG</t>
  </si>
  <si>
    <t>PHƯỚC</t>
  </si>
  <si>
    <t>GIA</t>
  </si>
  <si>
    <t>PHÚC</t>
  </si>
  <si>
    <t>TỔNG 
THÁNG 3.2026</t>
  </si>
  <si>
    <t xml:space="preserve">TỔNG </t>
  </si>
  <si>
    <t>Số ngày nghỉ</t>
  </si>
  <si>
    <t>Số ngày làm/tháng</t>
  </si>
  <si>
    <t>/30</t>
  </si>
  <si>
    <t>Tổng số giờ làm</t>
  </si>
  <si>
    <t>Vào sáng</t>
  </si>
  <si>
    <t>Ra sáng</t>
  </si>
  <si>
    <t>Vào chiều</t>
  </si>
  <si>
    <t>Ra chiều</t>
  </si>
  <si>
    <t>Tổng Giờ</t>
  </si>
  <si>
    <t>Cẩm</t>
  </si>
  <si>
    <t>Total</t>
  </si>
  <si>
    <t>Thắng</t>
  </si>
  <si>
    <t>Nam</t>
  </si>
  <si>
    <t>Tí</t>
  </si>
  <si>
    <t>Nhi</t>
  </si>
  <si>
    <t>Vũ</t>
  </si>
  <si>
    <t>Nhân</t>
  </si>
  <si>
    <t>Huy</t>
  </si>
  <si>
    <t>Trang</t>
  </si>
  <si>
    <t>Ý</t>
  </si>
  <si>
    <t>Nguyên</t>
  </si>
  <si>
    <t>Phát</t>
  </si>
  <si>
    <t>Nhạn</t>
  </si>
  <si>
    <t>Tùng</t>
  </si>
  <si>
    <t>Thiên</t>
  </si>
  <si>
    <t>Nhi (Nữ)</t>
  </si>
  <si>
    <t>A. Mến (TC)</t>
  </si>
  <si>
    <t>A. Ngọc (TC)</t>
  </si>
  <si>
    <t>A. Thành (TC)</t>
  </si>
  <si>
    <t>A.Hiếu (TC)</t>
  </si>
  <si>
    <t>A. Đen (TC)</t>
  </si>
  <si>
    <t>Duyên</t>
  </si>
  <si>
    <t>Hằng</t>
  </si>
  <si>
    <t>Hùng</t>
  </si>
  <si>
    <t>THU</t>
  </si>
  <si>
    <t>Subin</t>
  </si>
  <si>
    <t xml:space="preserve">Vũ </t>
  </si>
  <si>
    <t>/31</t>
  </si>
  <si>
    <t>BÃI XE</t>
  </si>
  <si>
    <t>9:00         21:00</t>
  </si>
  <si>
    <t>9:30         21:00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</si>
</sst>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#,##0.0"/>
    <numFmt numFmtId="177" formatCode="[$-14809]hh:mm;@"/>
    <numFmt numFmtId="178" formatCode="0.0"/>
    <numFmt numFmtId="179" formatCode="0.0_ "/>
    <numFmt numFmtId="180" formatCode="d/m/yy"/>
    <numFmt numFmtId="181" formatCode="_-* #,##0.0_-;\-* #,##0.0_-;_-* &quot;-&quot;??_-;_-@_-"/>
  </numFmts>
  <fonts count="38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color theme="5"/>
      <name val="Calibri"/>
      <charset val="134"/>
      <scheme val="minor"/>
    </font>
    <font>
      <b/>
      <sz val="12"/>
      <color theme="5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0"/>
      <color theme="5"/>
      <name val="Calibri"/>
      <charset val="134"/>
      <scheme val="minor"/>
    </font>
    <font>
      <sz val="13"/>
      <color theme="1"/>
      <name val="SF Pro Display"/>
      <charset val="134"/>
    </font>
    <font>
      <b/>
      <sz val="11"/>
      <color theme="1"/>
      <name val="SF Pro Display"/>
      <charset val="134"/>
    </font>
    <font>
      <sz val="11"/>
      <color theme="1"/>
      <name val="SF Pro Display"/>
      <charset val="134"/>
    </font>
    <font>
      <b/>
      <sz val="15"/>
      <color theme="1"/>
      <name val="SF Pro Display"/>
      <charset val="134"/>
    </font>
    <font>
      <sz val="13"/>
      <color theme="5"/>
      <name val="SF Pro Display"/>
      <charset val="134"/>
    </font>
    <font>
      <b/>
      <sz val="18"/>
      <color theme="5"/>
      <name val="SF Pro Display"/>
      <charset val="134"/>
    </font>
    <font>
      <b/>
      <sz val="11"/>
      <color theme="5"/>
      <name val="SF Pro Display"/>
      <charset val="134"/>
    </font>
    <font>
      <sz val="11"/>
      <color theme="1"/>
      <name val="Aptos Narrow"/>
      <charset val="134"/>
    </font>
    <font>
      <b/>
      <sz val="11"/>
      <color rgb="FF000000"/>
      <name val="Aptos Narrow"/>
      <charset val="134"/>
    </font>
    <font>
      <b/>
      <sz val="11"/>
      <color theme="1"/>
      <name val="Aptos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theme="9" tint="0.799981688894314"/>
      </top>
      <bottom style="thin">
        <color theme="9" tint="0.799981688894314"/>
      </bottom>
      <diagonal/>
    </border>
    <border>
      <left/>
      <right/>
      <top style="double">
        <color theme="9"/>
      </top>
      <bottom/>
      <diagonal/>
    </border>
    <border>
      <left/>
      <right/>
      <top style="thin">
        <color theme="9" tint="0.399975585192419"/>
      </top>
      <bottom style="thin">
        <color theme="9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6" borderId="17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7" borderId="20" applyNumberFormat="0" applyAlignment="0" applyProtection="0">
      <alignment vertical="center"/>
    </xf>
    <xf numFmtId="0" fontId="28" fillId="8" borderId="21" applyNumberFormat="0" applyAlignment="0" applyProtection="0">
      <alignment vertical="center"/>
    </xf>
    <xf numFmtId="0" fontId="29" fillId="8" borderId="20" applyNumberFormat="0" applyAlignment="0" applyProtection="0">
      <alignment vertical="center"/>
    </xf>
    <xf numFmtId="0" fontId="30" fillId="9" borderId="22" applyNumberFormat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32" fillId="0" borderId="24" applyNumberFormat="0" applyFill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</cellStyleXfs>
  <cellXfs count="7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1" fillId="2" borderId="0" xfId="0" applyFont="1" applyFill="1"/>
    <xf numFmtId="0" fontId="5" fillId="2" borderId="0" xfId="0" applyFont="1" applyFill="1"/>
    <xf numFmtId="0" fontId="6" fillId="0" borderId="0" xfId="0" applyFont="1"/>
    <xf numFmtId="0" fontId="7" fillId="3" borderId="0" xfId="0" applyFont="1" applyFill="1"/>
    <xf numFmtId="58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0" xfId="0" applyFont="1"/>
    <xf numFmtId="0" fontId="2" fillId="0" borderId="2" xfId="0" applyFont="1" applyBorder="1"/>
    <xf numFmtId="0" fontId="1" fillId="0" borderId="2" xfId="0" applyFont="1" applyBorder="1"/>
    <xf numFmtId="0" fontId="6" fillId="0" borderId="2" xfId="0" applyFont="1" applyBorder="1"/>
    <xf numFmtId="0" fontId="9" fillId="2" borderId="0" xfId="0" applyFont="1" applyFill="1" applyAlignment="1">
      <alignment vertical="center"/>
    </xf>
    <xf numFmtId="0" fontId="10" fillId="0" borderId="0" xfId="0" applyFont="1"/>
    <xf numFmtId="0" fontId="11" fillId="0" borderId="0" xfId="0" applyFont="1" applyAlignment="1">
      <alignment horizontal="right"/>
    </xf>
    <xf numFmtId="0" fontId="11" fillId="0" borderId="0" xfId="0" applyFont="1"/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right"/>
    </xf>
    <xf numFmtId="0" fontId="11" fillId="0" borderId="0" xfId="0" applyFont="1"/>
    <xf numFmtId="0" fontId="12" fillId="0" borderId="0" xfId="0" applyFont="1"/>
    <xf numFmtId="1" fontId="13" fillId="2" borderId="0" xfId="0" applyNumberFormat="1" applyFont="1" applyFill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right" vertical="top"/>
    </xf>
    <xf numFmtId="176" fontId="14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/>
    </xf>
    <xf numFmtId="0" fontId="10" fillId="0" borderId="0" xfId="0" applyFont="1"/>
    <xf numFmtId="58" fontId="11" fillId="0" borderId="0" xfId="0" applyNumberFormat="1" applyFont="1" applyAlignment="1">
      <alignment horizontal="right"/>
    </xf>
    <xf numFmtId="177" fontId="11" fillId="0" borderId="0" xfId="0" applyNumberFormat="1" applyFont="1"/>
    <xf numFmtId="176" fontId="15" fillId="0" borderId="0" xfId="0" applyNumberFormat="1" applyFont="1" applyAlignment="1">
      <alignment horizontal="right"/>
    </xf>
    <xf numFmtId="0" fontId="11" fillId="4" borderId="3" xfId="0" applyFont="1" applyFill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0" xfId="0" applyFont="1" applyAlignment="1">
      <alignment horizontal="right"/>
    </xf>
    <xf numFmtId="20" fontId="11" fillId="0" borderId="0" xfId="0" applyNumberFormat="1" applyFont="1"/>
    <xf numFmtId="0" fontId="16" fillId="0" borderId="0" xfId="0" applyFont="1"/>
    <xf numFmtId="0" fontId="17" fillId="0" borderId="4" xfId="0" applyFont="1" applyBorder="1" applyAlignment="1">
      <alignment horizontal="center" vertical="center" wrapText="1"/>
    </xf>
    <xf numFmtId="0" fontId="18" fillId="2" borderId="4" xfId="0" applyFont="1" applyFill="1" applyBorder="1"/>
    <xf numFmtId="0" fontId="0" fillId="0" borderId="4" xfId="0" applyBorder="1"/>
    <xf numFmtId="0" fontId="16" fillId="0" borderId="5" xfId="0" applyFont="1" applyBorder="1" applyAlignment="1">
      <alignment horizontal="center"/>
    </xf>
    <xf numFmtId="0" fontId="0" fillId="0" borderId="6" xfId="0" applyBorder="1"/>
    <xf numFmtId="176" fontId="0" fillId="0" borderId="6" xfId="0" applyNumberFormat="1" applyBorder="1"/>
    <xf numFmtId="0" fontId="16" fillId="0" borderId="7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178" fontId="0" fillId="0" borderId="4" xfId="0" applyNumberFormat="1" applyBorder="1"/>
    <xf numFmtId="0" fontId="16" fillId="0" borderId="8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9" xfId="0" applyFont="1" applyBorder="1"/>
    <xf numFmtId="0" fontId="18" fillId="0" borderId="10" xfId="0" applyFont="1" applyBorder="1" applyAlignment="1">
      <alignment horizontal="center" wrapText="1"/>
    </xf>
    <xf numFmtId="0" fontId="18" fillId="0" borderId="11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6" fillId="5" borderId="4" xfId="0" applyFont="1" applyFill="1" applyBorder="1"/>
    <xf numFmtId="0" fontId="16" fillId="2" borderId="5" xfId="0" applyFont="1" applyFill="1" applyBorder="1"/>
    <xf numFmtId="0" fontId="16" fillId="2" borderId="4" xfId="0" applyFont="1" applyFill="1" applyBorder="1"/>
    <xf numFmtId="0" fontId="16" fillId="0" borderId="5" xfId="0" applyFont="1" applyBorder="1"/>
    <xf numFmtId="0" fontId="16" fillId="0" borderId="13" xfId="0" applyFont="1" applyBorder="1" applyAlignment="1">
      <alignment horizontal="center"/>
    </xf>
    <xf numFmtId="0" fontId="16" fillId="0" borderId="14" xfId="0" applyFont="1" applyBorder="1"/>
    <xf numFmtId="0" fontId="16" fillId="0" borderId="6" xfId="0" applyFont="1" applyBorder="1"/>
    <xf numFmtId="178" fontId="16" fillId="0" borderId="6" xfId="0" applyNumberFormat="1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178" fontId="16" fillId="0" borderId="15" xfId="0" applyNumberFormat="1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179" fontId="16" fillId="0" borderId="6" xfId="0" applyNumberFormat="1" applyFont="1" applyBorder="1" applyAlignment="1">
      <alignment horizontal="center"/>
    </xf>
    <xf numFmtId="0" fontId="16" fillId="5" borderId="10" xfId="0" applyFont="1" applyFill="1" applyBorder="1" applyAlignment="1">
      <alignment horizontal="center" wrapText="1"/>
    </xf>
    <xf numFmtId="0" fontId="16" fillId="5" borderId="12" xfId="0" applyFont="1" applyFill="1" applyBorder="1" applyAlignment="1">
      <alignment horizontal="center"/>
    </xf>
    <xf numFmtId="178" fontId="16" fillId="5" borderId="4" xfId="0" applyNumberFormat="1" applyFont="1" applyFill="1" applyBorder="1" applyAlignment="1">
      <alignment horizontal="center"/>
    </xf>
    <xf numFmtId="0" fontId="16" fillId="2" borderId="10" xfId="0" applyFont="1" applyFill="1" applyBorder="1" applyAlignment="1">
      <alignment horizontal="center"/>
    </xf>
    <xf numFmtId="0" fontId="16" fillId="2" borderId="12" xfId="0" applyFont="1" applyFill="1" applyBorder="1" applyAlignment="1">
      <alignment horizontal="center"/>
    </xf>
    <xf numFmtId="178" fontId="16" fillId="2" borderId="4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180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left"/>
    </xf>
    <xf numFmtId="181" fontId="10" fillId="0" borderId="0" xfId="1" applyNumberFormat="1" applyFont="1" applyAlignment="1">
      <alignment horizontal="center"/>
    </xf>
    <xf numFmtId="177" fontId="11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3">
    <dxf>
      <numFmt numFmtId="178" formatCode="0.0"/>
    </dxf>
    <dxf>
      <numFmt numFmtId="4" formatCode="#,##0.0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dotted">
          <color auto="1"/>
        </top>
        <bottom style="dotted">
          <color auto="1"/>
        </bottom>
      </border>
    </dxf>
    <dxf>
      <border>
        <top style="dotted">
          <color auto="1"/>
        </top>
        <bottom style="dotted">
          <color auto="1"/>
        </bottom>
      </border>
    </dxf>
    <dxf>
      <numFmt numFmtId="176" formatCode="#,##0.0"/>
    </dxf>
    <dxf>
      <border>
        <top/>
      </border>
    </dxf>
    <dxf>
      <border>
        <top/>
      </border>
    </dxf>
    <dxf>
      <border>
        <top style="hair">
          <color auto="1"/>
        </top>
        <bottom style="hair">
          <color auto="1"/>
        </bottom>
      </border>
    </dxf>
    <dxf>
      <border>
        <top style="hair">
          <color auto="1"/>
        </top>
        <bottom style="hair">
          <color auto="1"/>
        </bottom>
      </border>
    </dxf>
    <dxf>
      <border>
        <top style="hair">
          <color auto="1"/>
        </top>
        <bottom style="hair">
          <color auto="1"/>
        </bottom>
      </border>
    </dxf>
    <dxf>
      <border>
        <top style="hair">
          <color auto="1"/>
        </top>
        <bottom style="hair">
          <color auto="1"/>
        </bottom>
      </border>
    </dxf>
    <dxf>
      <border>
        <top style="hair">
          <color auto="1"/>
        </top>
        <bottom style="hair">
          <color auto="1"/>
        </bottom>
      </border>
    </dxf>
    <dxf>
      <border>
        <top style="hair">
          <color auto="1"/>
        </top>
        <bottom style="hair">
          <color auto="1"/>
        </bottom>
      </border>
    </dxf>
    <dxf>
      <border>
        <top style="hair">
          <color auto="1"/>
        </top>
        <bottom style="hair">
          <color auto="1"/>
        </bottom>
      </border>
    </dxf>
    <dxf>
      <border>
        <top style="hair">
          <color auto="1"/>
        </top>
        <bottom style="hair">
          <color auto="1"/>
        </bottom>
      </border>
    </dxf>
    <dxf>
      <border>
        <top style="hair">
          <color auto="1"/>
        </top>
        <bottom style="hair">
          <color auto="1"/>
        </bottom>
      </border>
    </dxf>
    <dxf>
      <border>
        <top style="hair">
          <color auto="1"/>
        </top>
        <bottom style="hair">
          <color auto="1"/>
        </bottom>
      </border>
    </dxf>
    <dxf>
      <border>
        <top style="hair">
          <color auto="1"/>
        </top>
        <bottom style="hair">
          <color auto="1"/>
        </bottom>
      </border>
    </dxf>
    <dxf>
      <border>
        <top style="hair">
          <color auto="1"/>
        </top>
        <bottom style="hair">
          <color auto="1"/>
        </bottom>
      </border>
    </dxf>
    <dxf>
      <border>
        <top style="hair">
          <color auto="1"/>
        </top>
        <bottom style="hair">
          <color auto="1"/>
        </bottom>
      </border>
    </dxf>
    <dxf>
      <border>
        <top style="hair">
          <color auto="1"/>
        </top>
        <bottom style="hair">
          <color auto="1"/>
        </bottom>
      </border>
    </dxf>
    <dxf>
      <border>
        <top style="hair">
          <color auto="1"/>
        </top>
        <bottom style="hair">
          <color auto="1"/>
        </bottom>
      </border>
    </dxf>
    <dxf>
      <border>
        <top style="hair">
          <color auto="1"/>
        </top>
        <bottom style="hair">
          <color auto="1"/>
        </bottom>
      </border>
    </dxf>
    <dxf>
      <border>
        <top style="hair">
          <color auto="1"/>
        </top>
        <bottom style="hair">
          <color auto="1"/>
        </bottom>
      </border>
    </dxf>
    <dxf>
      <border>
        <top style="hair">
          <color auto="1"/>
        </top>
        <bottom style="hair">
          <color auto="1"/>
        </bottom>
      </border>
    </dxf>
    <dxf>
      <border>
        <top style="hair">
          <color auto="1"/>
        </top>
        <bottom style="hair">
          <color auto="1"/>
        </bottom>
      </border>
    </dxf>
    <dxf>
      <border>
        <top style="hair">
          <color auto="1"/>
        </top>
        <bottom style="hair">
          <color auto="1"/>
        </bottom>
      </border>
    </dxf>
    <dxf>
      <border>
        <top style="hair">
          <color auto="1"/>
        </top>
        <bottom style="hair">
          <color auto="1"/>
        </bottom>
      </border>
    </dxf>
    <dxf>
      <border>
        <top style="hair">
          <color auto="1"/>
        </top>
        <bottom style="hair">
          <color auto="1"/>
        </bottom>
      </border>
    </dxf>
    <dxf>
      <border>
        <top style="hair">
          <color auto="1"/>
        </top>
        <bottom style="hair">
          <color auto="1"/>
        </bottom>
      </border>
    </dxf>
    <dxf>
      <border>
        <top style="hair">
          <color auto="1"/>
        </top>
        <bottom style="hair">
          <color auto="1"/>
        </bottom>
      </border>
    </dxf>
    <dxf>
      <border>
        <top style="hair">
          <color auto="1"/>
        </top>
        <bottom style="hair">
          <color auto="1"/>
        </bottom>
      </border>
    </dxf>
    <dxf>
      <border>
        <top style="hair">
          <color auto="1"/>
        </top>
        <bottom style="hair">
          <color auto="1"/>
        </bottom>
      </border>
    </dxf>
    <dxf>
      <border>
        <bottom/>
      </border>
    </dxf>
    <dxf>
      <border>
        <bottom/>
      </border>
    </dxf>
    <dxf>
      <alignment horizontal="center"/>
    </dxf>
    <dxf>
      <font>
        <name val="SF Pro Display"/>
        <scheme val="none"/>
      </font>
    </dxf>
    <dxf>
      <font>
        <name val="SF Pro Display"/>
        <scheme val="none"/>
      </font>
    </dxf>
    <dxf>
      <font>
        <name val="SF Pro Display"/>
        <scheme val="none"/>
      </font>
    </dxf>
    <dxf>
      <font>
        <name val="SF Pro Display"/>
        <scheme val="none"/>
      </font>
    </dxf>
    <dxf>
      <font>
        <name val="SF Pro Display"/>
        <scheme val="none"/>
      </font>
    </dxf>
    <dxf>
      <font>
        <name val="SF Pro Display"/>
        <scheme val="none"/>
      </font>
    </dxf>
    <dxf>
      <font>
        <b val="1"/>
      </font>
    </dxf>
    <dxf>
      <font>
        <b val="1"/>
      </font>
    </dxf>
    <dxf>
      <font>
        <b val="1"/>
      </font>
    </dxf>
    <dxf>
      <font>
        <color theme="5"/>
      </font>
    </dxf>
    <dxf>
      <font>
        <b val="1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sz val="15"/>
      </font>
    </dxf>
    <dxf>
      <numFmt numFmtId="176" formatCode="#,##0.0"/>
    </dxf>
    <dxf>
      <numFmt numFmtId="176" formatCode="#,##0.0"/>
    </dxf>
    <dxf>
      <font>
        <name val="SF Pro Display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SF Pro Display"/>
        <scheme val="none"/>
        <b val="0"/>
        <i val="0"/>
        <strike val="0"/>
        <u val="none"/>
        <sz val="11"/>
        <color theme="1"/>
      </font>
      <numFmt numFmtId="180" formatCode="d/m/yy"/>
      <alignment horizontal="center"/>
    </dxf>
    <dxf>
      <font>
        <name val="SF Pro Display"/>
        <scheme val="none"/>
        <b val="0"/>
        <i val="0"/>
        <strike val="0"/>
        <u val="none"/>
        <sz val="11"/>
        <color theme="1"/>
      </font>
      <alignment horizontal="left"/>
    </dxf>
    <dxf>
      <font>
        <name val="SF Pro Display"/>
        <scheme val="none"/>
        <b val="1"/>
        <i val="0"/>
        <strike val="0"/>
        <u val="none"/>
        <sz val="11"/>
        <color theme="1"/>
      </font>
      <numFmt numFmtId="181" formatCode="_-* #,##0.0_-;\-* #,##0.0_-;_-* &quot;-&quot;??_-;_-@_-"/>
      <alignment horizontal="center"/>
    </dxf>
    <dxf>
      <font>
        <name val="SF Pro Display"/>
        <scheme val="none"/>
        <b val="0"/>
        <i val="0"/>
        <strike val="0"/>
        <u val="none"/>
        <sz val="11"/>
        <color theme="1"/>
      </font>
      <numFmt numFmtId="177" formatCode="[$-14809]hh:mm;@"/>
      <alignment horizontal="center"/>
    </dxf>
    <dxf>
      <font>
        <name val="SF Pro Display"/>
        <scheme val="none"/>
        <b val="0"/>
        <i val="0"/>
        <strike val="0"/>
        <u val="none"/>
        <sz val="11"/>
        <color theme="1"/>
      </font>
      <numFmt numFmtId="177" formatCode="[$-14809]hh:mm;@"/>
      <alignment horizontal="center"/>
    </dxf>
    <dxf>
      <font>
        <name val="SF Pro Display"/>
        <scheme val="none"/>
        <b val="0"/>
        <i val="0"/>
        <strike val="0"/>
        <u val="none"/>
        <sz val="11"/>
        <color theme="1"/>
      </font>
      <numFmt numFmtId="177" formatCode="[$-14809]hh:mm;@"/>
      <alignment horizontal="center"/>
    </dxf>
    <dxf>
      <font>
        <name val="SF Pro Display"/>
        <scheme val="none"/>
        <b val="0"/>
        <i val="0"/>
        <strike val="0"/>
        <u val="none"/>
        <sz val="11"/>
        <color theme="1"/>
      </font>
      <numFmt numFmtId="177" formatCode="[$-14809]hh:mm;@"/>
      <alignment horizontal="center"/>
    </dxf>
    <dxf>
      <font>
        <name val="SF Pro Display"/>
        <scheme val="none"/>
        <b val="0"/>
        <i val="0"/>
        <strike val="0"/>
        <u val="none"/>
        <sz val="11"/>
        <color theme="1"/>
      </font>
      <numFmt numFmtId="177" formatCode="[$-14809]hh:mm;@"/>
      <alignment horizontal="center"/>
    </dxf>
    <dxf>
      <font>
        <name val="SF Pro Display"/>
        <scheme val="none"/>
        <b val="0"/>
        <i val="0"/>
        <strike val="0"/>
        <u val="none"/>
        <sz val="11"/>
        <color theme="1"/>
      </font>
      <numFmt numFmtId="177" formatCode="[$-14809]hh:mm;@"/>
      <alignment horizontal="center"/>
    </dxf>
    <dxf>
      <font>
        <color rgb="FF9C57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180975</xdr:colOff>
      <xdr:row>3</xdr:row>
      <xdr:rowOff>76199</xdr:rowOff>
    </xdr:from>
    <xdr:to>
      <xdr:col>12</xdr:col>
      <xdr:colOff>299356</xdr:colOff>
      <xdr:row>35</xdr:row>
      <xdr:rowOff>167095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Tên NV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ên NV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33135" y="669925"/>
              <a:ext cx="2495550" cy="58635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5" minRefreshableVersion="3" refreshedDate="46272.8067708333" refreshedBy="ADMIN" recordCount="78">
  <cacheSource type="worksheet">
    <worksheetSource name="Table1"/>
  </cacheSource>
  <cacheFields count="10">
    <cacheField name="STT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Ngày" numFmtId="180">
      <sharedItems containsSemiMixedTypes="0" containsString="0" containsNonDate="0" containsDate="1" minDate="2025-08-01T00:00:00" maxDate="2026-09-07T00:00:00" count="300">
        <d v="2026-09-01T00:00:00"/>
        <d v="2026-09-02T00:00:00"/>
        <d v="2026-09-03T00:00:00"/>
        <d v="2026-09-04T00:00:00"/>
        <d v="2026-09-05T00:00:00"/>
        <d v="2026-09-06T00:00:00"/>
        <d v="2026-09-07T00:00:00" u="1"/>
        <d v="2026-08-01T00:00:00" u="1"/>
        <d v="2026-08-02T00:00:00" u="1"/>
        <d v="2026-08-03T00:00:00" u="1"/>
        <d v="2026-08-04T00:00:00" u="1"/>
        <d v="2026-08-05T00:00:00" u="1"/>
        <d v="2026-08-06T00:00:00" u="1"/>
        <d v="2026-08-07T00:00:00" u="1"/>
        <d v="2026-08-08T00:00:00" u="1"/>
        <d v="2026-08-09T00:00:00" u="1"/>
        <d v="2026-08-10T00:00:00" u="1"/>
        <d v="2026-08-11T00:00:00" u="1"/>
        <d v="2026-08-12T00:00:00" u="1"/>
        <d v="2026-08-13T00:00:00" u="1"/>
        <d v="2026-08-14T00:00:00" u="1"/>
        <d v="2026-08-15T00:00:00" u="1"/>
        <d v="2026-08-16T00:00:00" u="1"/>
        <d v="2026-08-17T00:00:00" u="1"/>
        <d v="2026-08-18T00:00:00" u="1"/>
        <d v="2026-08-19T00:00:00" u="1"/>
        <d v="2026-08-20T00:00:00" u="1"/>
        <d v="2026-08-21T00:00:00" u="1"/>
        <d v="2026-08-22T00:00:00" u="1"/>
        <d v="2026-08-23T00:00:00" u="1"/>
        <d v="2026-08-24T00:00:00" u="1"/>
        <d v="2026-08-25T00:00:00" u="1"/>
        <d v="2026-08-26T00:00:00" u="1"/>
        <d v="2026-08-27T00:00:00" u="1"/>
        <d v="2026-08-28T00:00:00" u="1"/>
        <d v="2026-08-29T00:00:00" u="1"/>
        <d v="2026-08-30T00:00:00" u="1"/>
        <d v="2026-08-31T00:00:00" u="1"/>
        <d v="2026-07-01T00:00:00" u="1"/>
        <d v="2026-07-02T00:00:00" u="1"/>
        <d v="2026-07-03T00:00:00" u="1"/>
        <d v="2026-07-04T00:00:00" u="1"/>
        <d v="2026-07-05T00:00:00" u="1"/>
        <d v="2026-07-06T00:00:00" u="1"/>
        <d v="2026-07-07T00:00:00" u="1"/>
        <d v="2026-07-08T00:00:00" u="1"/>
        <d v="2026-07-09T00:00:00" u="1"/>
        <d v="2026-07-10T00:00:00" u="1"/>
        <d v="2026-07-11T00:00:00" u="1"/>
        <d v="2026-07-12T00:00:00" u="1"/>
        <d v="2026-07-13T00:00:00" u="1"/>
        <d v="2026-07-14T00:00:00" u="1"/>
        <d v="2026-07-15T00:00:00" u="1"/>
        <d v="2026-07-16T00:00:00" u="1"/>
        <d v="2026-07-17T00:00:00" u="1"/>
        <d v="2026-07-18T00:00:00" u="1"/>
        <d v="2026-07-19T00:00:00" u="1"/>
        <d v="2026-07-20T00:00:00" u="1"/>
        <d v="2026-07-21T00:00:00" u="1"/>
        <d v="2026-07-22T00:00:00" u="1"/>
        <d v="2026-07-23T00:00:00" u="1"/>
        <d v="2026-07-24T00:00:00" u="1"/>
        <d v="2026-07-25T00:00:00" u="1"/>
        <d v="2026-07-26T00:00:00" u="1"/>
        <d v="2026-07-27T00:00:00" u="1"/>
        <d v="2026-07-28T00:00:00" u="1"/>
        <d v="2026-07-29T00:00:00" u="1"/>
        <d v="2026-07-30T00:00:00" u="1"/>
        <d v="2026-07-31T00:00:00" u="1"/>
        <d v="2026-06-01T00:00:00" u="1"/>
        <d v="2026-06-02T00:00:00" u="1"/>
        <d v="2026-06-03T00:00:00" u="1"/>
        <d v="2026-06-04T00:00:00" u="1"/>
        <d v="2026-06-05T00:00:00" u="1"/>
        <d v="2026-06-06T00:00:00" u="1"/>
        <d v="2026-06-07T00:00:00" u="1"/>
        <d v="2026-06-08T00:00:00" u="1"/>
        <d v="2026-06-09T00:00:00" u="1"/>
        <d v="2026-06-10T00:00:00" u="1"/>
        <d v="2026-06-11T00:00:00" u="1"/>
        <d v="2026-06-12T00:00:00" u="1"/>
        <d v="2026-06-13T00:00:00" u="1"/>
        <d v="2026-06-14T00:00:00" u="1"/>
        <d v="2026-06-15T00:00:00" u="1"/>
        <d v="2026-06-16T00:00:00" u="1"/>
        <d v="2026-06-17T00:00:00" u="1"/>
        <d v="2026-06-18T00:00:00" u="1"/>
        <d v="2026-06-19T00:00:00" u="1"/>
        <d v="2026-06-20T00:00:00" u="1"/>
        <d v="2026-06-21T00:00:00" u="1"/>
        <d v="2026-06-22T00:00:00" u="1"/>
        <d v="2026-06-23T00:00:00" u="1"/>
        <d v="2026-06-24T00:00:00" u="1"/>
        <d v="2026-06-25T00:00:00" u="1"/>
        <d v="2026-06-26T00:00:00" u="1"/>
        <d v="2026-06-27T00:00:00" u="1"/>
        <d v="2026-06-28T00:00:00" u="1"/>
        <d v="2026-06-29T00:00:00" u="1"/>
        <d v="2026-06-30T00:00:00" u="1"/>
        <d v="2026-04-29T00:00:00" u="1"/>
        <d v="2026-04-30T00:00:00" u="1"/>
        <d v="2026-05-01T00:00:00" u="1"/>
        <d v="2026-05-02T00:00:00" u="1"/>
        <d v="2026-05-03T00:00:00" u="1"/>
        <d v="2026-05-04T00:00:00" u="1"/>
        <d v="2026-05-05T00:00:00" u="1"/>
        <d v="2026-05-06T00:00:00" u="1"/>
        <d v="2026-05-07T00:00:00" u="1"/>
        <d v="2026-05-08T00:00:00" u="1"/>
        <d v="2026-05-09T00:00:00" u="1"/>
        <d v="2026-05-10T00:00:00" u="1"/>
        <d v="2026-05-11T00:00:00" u="1"/>
        <d v="2026-05-12T00:00:00" u="1"/>
        <d v="2026-05-13T00:00:00" u="1"/>
        <d v="2026-05-14T00:00:00" u="1"/>
        <d v="2026-05-15T00:00:00" u="1"/>
        <d v="2026-05-16T00:00:00" u="1"/>
        <d v="2026-05-17T00:00:00" u="1"/>
        <d v="2026-05-18T00:00:00" u="1"/>
        <d v="2026-05-19T00:00:00" u="1"/>
        <d v="2026-05-20T00:00:00" u="1"/>
        <d v="2026-05-21T00:00:00" u="1"/>
        <d v="2026-05-22T00:00:00" u="1"/>
        <d v="2026-05-23T00:00:00" u="1"/>
        <d v="2026-05-24T00:00:00" u="1"/>
        <d v="2026-05-25T00:00:00" u="1"/>
        <d v="2026-05-26T00:00:00" u="1"/>
        <d v="2026-05-27T00:00:00" u="1"/>
        <d v="2026-05-28T00:00:00" u="1"/>
        <d v="2026-05-29T00:00:00" u="1"/>
        <d v="2026-05-30T00:00:00" u="1"/>
        <d v="2026-05-31T00:00:00" u="1"/>
        <d v="2026-04-01T00:00:00" u="1"/>
        <d v="2026-04-02T00:00:00" u="1"/>
        <d v="2026-04-03T00:00:00" u="1"/>
        <d v="2026-04-04T00:00:00" u="1"/>
        <d v="2026-04-05T00:00:00" u="1"/>
        <d v="2026-04-06T00:00:00" u="1"/>
        <d v="2026-04-07T00:00:00" u="1"/>
        <d v="2026-04-08T00:00:00" u="1"/>
        <d v="2026-04-09T00:00:00" u="1"/>
        <d v="2026-04-10T00:00:00" u="1"/>
        <d v="2026-04-11T00:00:00" u="1"/>
        <d v="2026-04-12T00:00:00" u="1"/>
        <d v="2026-04-13T00:00:00" u="1"/>
        <d v="2026-03-01T00:00:00" u="1"/>
        <d v="2026-03-02T00:00:00" u="1"/>
        <d v="2026-03-03T00:00:00" u="1"/>
        <d v="2026-03-04T00:00:00" u="1"/>
        <d v="2026-03-05T00:00:00" u="1"/>
        <d v="2026-03-06T00:00:00" u="1"/>
        <d v="2026-03-07T00:00:00" u="1"/>
        <d v="2026-03-08T00:00:00" u="1"/>
        <d v="2026-03-09T00:00:00" u="1"/>
        <d v="2026-03-10T00:00:00" u="1"/>
        <d v="2026-03-11T00:00:00" u="1"/>
        <d v="2026-03-12T00:00:00" u="1"/>
        <d v="2026-03-13T00:00:00" u="1"/>
        <d v="2026-03-14T00:00:00" u="1"/>
        <d v="2026-03-15T00:00:00" u="1"/>
        <d v="2026-03-16T00:00:00" u="1"/>
        <d v="2026-03-17T00:00:00" u="1"/>
        <d v="2026-03-18T00:00:00" u="1"/>
        <d v="2026-03-19T00:00:00" u="1"/>
        <d v="2026-03-20T00:00:00" u="1"/>
        <d v="2026-03-21T00:00:00" u="1"/>
        <d v="2026-03-22T00:00:00" u="1"/>
        <d v="2026-03-23T00:00:00" u="1"/>
        <d v="2026-03-24T00:00:00" u="1"/>
        <d v="2026-03-25T00:00:00" u="1"/>
        <d v="2026-03-26T00:00:00" u="1"/>
        <d v="2026-03-27T00:00:00" u="1"/>
        <d v="2026-03-28T00:00:00" u="1"/>
        <d v="2026-03-29T00:00:00" u="1"/>
        <d v="2026-03-30T00:00:00" u="1"/>
        <d v="2026-03-31T00:00:00" u="1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8-01T00:00:00" u="1"/>
        <d v="2025-08-02T00:00:00" u="1"/>
      </sharedItems>
    </cacheField>
    <cacheField name="Tên NV" numFmtId="0">
      <sharedItems containsBlank="1" count="30">
        <s v="Sung"/>
        <s v="Phấn "/>
        <s v="Chi"/>
        <s v="Trân"/>
        <s v="Tiến"/>
        <s v="Chẩn"/>
        <s v="Gia"/>
        <s v="Phúc"/>
        <s v="Quý"/>
        <s v="Hoàng"/>
        <s v="Tý"/>
        <s v="Lệ"/>
        <s v="Phước"/>
        <s v="Vũ" u="1"/>
        <s v="Nhi" u="1"/>
        <s v="Cẩm" u="1"/>
        <s v="Thắng" u="1"/>
        <s v="Đạt" u="1"/>
        <s v="Hưng PT" u="1"/>
        <s v="Chú Hưng" u="1"/>
        <s v="Thọ" u="1"/>
        <s v="Nam" u="1"/>
        <s v="Thiên" u="1"/>
        <s v="Subin" u="1"/>
        <s v="Vũ " u="1"/>
        <s v="Nhân" u="1"/>
        <s v="Chương" u="1"/>
        <s v="Ngoan" u="1"/>
        <s v="Tí" u="1"/>
        <m u="1"/>
      </sharedItems>
    </cacheField>
    <cacheField name="Số Giờ" numFmtId="181">
      <sharedItems containsSemiMixedTypes="0" containsString="0" containsNumber="1" minValue="0" maxValue="13.6666666666667" count="35">
        <n v="10"/>
        <n v="4"/>
        <n v="7.99999999999999"/>
        <n v="7.75000000000001"/>
        <n v="0"/>
        <n v="13"/>
        <n v="10.6666666666667"/>
        <n v="12"/>
        <n v="9.5"/>
        <n v="11.25"/>
        <n v="7"/>
        <n v="9"/>
        <n v="6.5"/>
        <n v="5"/>
        <n v="11"/>
        <n v="13.6666666666667"/>
        <n v="10.3333333333333"/>
        <n v="7.33333333333334"/>
        <n v="12.3333333333333"/>
        <n v="11.3333333333333"/>
        <n v="8"/>
        <n v="7.25000000000001"/>
        <n v="11.5"/>
        <n v="12.5"/>
        <n v="10.5"/>
        <n v="8.5"/>
        <n v="12.5833333333333"/>
        <n v="11.6666666666667"/>
        <n v="7.00000000000001"/>
        <n v="13.5"/>
        <n v="12.6666666666667"/>
        <n v="12.75"/>
        <n v="9.83333333333333"/>
        <n v="7.50000000000001"/>
        <n v="12.25"/>
      </sharedItems>
    </cacheField>
    <cacheField name="Giờ vào sáng" numFmtId="177">
      <sharedItems containsBlank="1" containsDate="1" containsMixedTypes="1" count="16">
        <d v="1899-12-30T06:00:00"/>
        <d v="1899-12-30T15:00:00"/>
        <d v="1899-12-30T07:00:00"/>
        <d v="1899-12-30T14:00:00"/>
        <s v="OFF"/>
        <d v="1899-12-30T10:00:00"/>
        <d v="1899-12-30T07:30:00"/>
        <d v="1899-12-30T08:00:00"/>
        <d v="1899-12-30T04:00:00"/>
        <d v="1899-12-30T11:00:00"/>
        <m/>
        <d v="1899-12-30T06:30:00"/>
        <d v="1899-12-30T10:05:00"/>
        <d v="1899-12-30T09:00:00"/>
        <d v="1899-12-30T12:00:00"/>
        <d v="1899-12-30T10:15:00"/>
      </sharedItems>
    </cacheField>
    <cacheField name="Giờ ra sáng" numFmtId="177">
      <sharedItems containsString="0" containsBlank="1" containsNonDate="0" containsDate="1" minDate="1899-12-30T09:00:00" maxDate="1899-12-30T23:40:00" count="33">
        <d v="1899-12-30T16:00:00"/>
        <d v="1899-12-30T19:00:00"/>
        <d v="1899-12-30T15:00:00"/>
        <d v="1899-12-30T21:45:00"/>
        <m/>
        <d v="1899-12-30T23:00:00"/>
        <d v="1899-12-30T18:10:00"/>
        <d v="1899-12-30T15:45:00"/>
        <d v="1899-12-30T10:00:00"/>
        <d v="1899-12-30T20:30:00"/>
        <d v="1899-12-30T21:15:00"/>
        <d v="1899-12-30T21:00:00"/>
        <d v="1899-12-30T17:30:00"/>
        <d v="1899-12-30T12:30:00"/>
        <d v="1899-12-30T23:40:00"/>
        <d v="1899-12-30T17:50:00"/>
        <d v="1899-12-30T15:20:00"/>
        <d v="1899-12-30T23:20:00"/>
        <d v="1899-12-30T18:00:00"/>
        <d v="1899-12-30T21:20:00"/>
        <d v="1899-12-30T13:30:00"/>
        <d v="1899-12-30T22:00:00"/>
        <d v="1899-12-30T17:00:00"/>
        <d v="1899-12-30T22:30:00"/>
        <d v="1899-12-30T15:30:00"/>
        <d v="1899-12-30T10:30:00"/>
        <d v="1899-12-30T22:40:00"/>
        <d v="1899-12-30T20:00:00"/>
        <d v="1899-12-30T21:30:00"/>
        <d v="1899-12-30T22:45:00"/>
        <d v="1899-12-30T16:30:00"/>
        <d v="1899-12-30T09:00:00"/>
        <d v="1899-12-30T17:20:00"/>
      </sharedItems>
    </cacheField>
    <cacheField name="Giờ vào chiều" numFmtId="177">
      <sharedItems containsString="0" containsBlank="1" containsNonDate="0" containsDate="1" minDate="1899-12-30T14:00:00" maxDate="1899-12-30T17:00:00" count="4">
        <m/>
        <d v="1899-12-30T17:00:00"/>
        <d v="1899-12-30T14:00:00"/>
        <d v="1899-12-30T16:30:00"/>
      </sharedItems>
    </cacheField>
    <cacheField name="Giờ ra chiều" numFmtId="177">
      <sharedItems containsString="0" containsBlank="1" containsNonDate="0" containsDate="1" minDate="1899-12-30T19:00:00" maxDate="1899-12-30T23:00:00" count="6">
        <m/>
        <d v="1899-12-30T23:00:00"/>
        <d v="1899-12-30T19:00:00"/>
        <d v="1899-12-30T19:30:00"/>
        <d v="1899-12-30T20:30:00"/>
        <d v="1899-12-30T21:00:00"/>
      </sharedItems>
    </cacheField>
    <cacheField name="Column1" numFmtId="177">
      <sharedItems containsString="0" containsBlank="1" containsNonDate="0" count="1">
        <m/>
      </sharedItems>
    </cacheField>
    <cacheField name="Column2" numFmtId="177">
      <sharedItems containsString="0" containsBlank="1" containsNonDate="0" count="1"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8">
  <r>
    <x v="0"/>
    <x v="0"/>
    <x v="0"/>
    <x v="0"/>
    <x v="0"/>
    <x v="0"/>
    <x v="0"/>
    <x v="0"/>
    <x v="0"/>
    <x v="0"/>
  </r>
  <r>
    <x v="1"/>
    <x v="0"/>
    <x v="1"/>
    <x v="1"/>
    <x v="1"/>
    <x v="1"/>
    <x v="0"/>
    <x v="0"/>
    <x v="0"/>
    <x v="0"/>
  </r>
  <r>
    <x v="2"/>
    <x v="0"/>
    <x v="2"/>
    <x v="2"/>
    <x v="2"/>
    <x v="2"/>
    <x v="0"/>
    <x v="0"/>
    <x v="0"/>
    <x v="0"/>
  </r>
  <r>
    <x v="3"/>
    <x v="0"/>
    <x v="3"/>
    <x v="3"/>
    <x v="3"/>
    <x v="3"/>
    <x v="0"/>
    <x v="0"/>
    <x v="0"/>
    <x v="0"/>
  </r>
  <r>
    <x v="4"/>
    <x v="0"/>
    <x v="4"/>
    <x v="4"/>
    <x v="4"/>
    <x v="4"/>
    <x v="0"/>
    <x v="0"/>
    <x v="0"/>
    <x v="0"/>
  </r>
  <r>
    <x v="5"/>
    <x v="0"/>
    <x v="5"/>
    <x v="5"/>
    <x v="5"/>
    <x v="5"/>
    <x v="0"/>
    <x v="0"/>
    <x v="0"/>
    <x v="0"/>
  </r>
  <r>
    <x v="6"/>
    <x v="0"/>
    <x v="6"/>
    <x v="6"/>
    <x v="6"/>
    <x v="6"/>
    <x v="0"/>
    <x v="0"/>
    <x v="0"/>
    <x v="0"/>
  </r>
  <r>
    <x v="7"/>
    <x v="0"/>
    <x v="7"/>
    <x v="3"/>
    <x v="7"/>
    <x v="7"/>
    <x v="0"/>
    <x v="0"/>
    <x v="0"/>
    <x v="0"/>
  </r>
  <r>
    <x v="8"/>
    <x v="0"/>
    <x v="8"/>
    <x v="7"/>
    <x v="8"/>
    <x v="8"/>
    <x v="1"/>
    <x v="1"/>
    <x v="0"/>
    <x v="0"/>
  </r>
  <r>
    <x v="9"/>
    <x v="0"/>
    <x v="9"/>
    <x v="8"/>
    <x v="9"/>
    <x v="9"/>
    <x v="0"/>
    <x v="0"/>
    <x v="0"/>
    <x v="0"/>
  </r>
  <r>
    <x v="10"/>
    <x v="0"/>
    <x v="10"/>
    <x v="9"/>
    <x v="5"/>
    <x v="10"/>
    <x v="0"/>
    <x v="0"/>
    <x v="0"/>
    <x v="0"/>
  </r>
  <r>
    <x v="11"/>
    <x v="0"/>
    <x v="11"/>
    <x v="4"/>
    <x v="10"/>
    <x v="4"/>
    <x v="0"/>
    <x v="0"/>
    <x v="0"/>
    <x v="0"/>
  </r>
  <r>
    <x v="12"/>
    <x v="0"/>
    <x v="12"/>
    <x v="10"/>
    <x v="3"/>
    <x v="11"/>
    <x v="0"/>
    <x v="0"/>
    <x v="0"/>
    <x v="0"/>
  </r>
  <r>
    <x v="0"/>
    <x v="1"/>
    <x v="0"/>
    <x v="11"/>
    <x v="0"/>
    <x v="2"/>
    <x v="0"/>
    <x v="0"/>
    <x v="0"/>
    <x v="0"/>
  </r>
  <r>
    <x v="1"/>
    <x v="1"/>
    <x v="1"/>
    <x v="12"/>
    <x v="9"/>
    <x v="12"/>
    <x v="0"/>
    <x v="0"/>
    <x v="0"/>
    <x v="0"/>
  </r>
  <r>
    <x v="2"/>
    <x v="1"/>
    <x v="2"/>
    <x v="13"/>
    <x v="6"/>
    <x v="13"/>
    <x v="0"/>
    <x v="0"/>
    <x v="0"/>
    <x v="0"/>
  </r>
  <r>
    <x v="3"/>
    <x v="1"/>
    <x v="3"/>
    <x v="3"/>
    <x v="3"/>
    <x v="3"/>
    <x v="0"/>
    <x v="0"/>
    <x v="0"/>
    <x v="0"/>
  </r>
  <r>
    <x v="4"/>
    <x v="1"/>
    <x v="4"/>
    <x v="14"/>
    <x v="8"/>
    <x v="8"/>
    <x v="2"/>
    <x v="2"/>
    <x v="0"/>
    <x v="0"/>
  </r>
  <r>
    <x v="5"/>
    <x v="1"/>
    <x v="5"/>
    <x v="15"/>
    <x v="5"/>
    <x v="14"/>
    <x v="0"/>
    <x v="0"/>
    <x v="0"/>
    <x v="0"/>
  </r>
  <r>
    <x v="6"/>
    <x v="1"/>
    <x v="6"/>
    <x v="16"/>
    <x v="6"/>
    <x v="15"/>
    <x v="0"/>
    <x v="0"/>
    <x v="0"/>
    <x v="0"/>
  </r>
  <r>
    <x v="7"/>
    <x v="1"/>
    <x v="7"/>
    <x v="17"/>
    <x v="7"/>
    <x v="16"/>
    <x v="0"/>
    <x v="0"/>
    <x v="0"/>
    <x v="0"/>
  </r>
  <r>
    <x v="8"/>
    <x v="1"/>
    <x v="8"/>
    <x v="18"/>
    <x v="9"/>
    <x v="17"/>
    <x v="0"/>
    <x v="0"/>
    <x v="0"/>
    <x v="0"/>
  </r>
  <r>
    <x v="9"/>
    <x v="1"/>
    <x v="9"/>
    <x v="10"/>
    <x v="9"/>
    <x v="18"/>
    <x v="0"/>
    <x v="0"/>
    <x v="0"/>
    <x v="0"/>
  </r>
  <r>
    <x v="10"/>
    <x v="1"/>
    <x v="10"/>
    <x v="19"/>
    <x v="5"/>
    <x v="19"/>
    <x v="0"/>
    <x v="0"/>
    <x v="0"/>
    <x v="0"/>
  </r>
  <r>
    <x v="11"/>
    <x v="1"/>
    <x v="11"/>
    <x v="10"/>
    <x v="11"/>
    <x v="20"/>
    <x v="0"/>
    <x v="0"/>
    <x v="0"/>
    <x v="0"/>
  </r>
  <r>
    <x v="12"/>
    <x v="1"/>
    <x v="12"/>
    <x v="20"/>
    <x v="3"/>
    <x v="21"/>
    <x v="0"/>
    <x v="0"/>
    <x v="0"/>
    <x v="0"/>
  </r>
  <r>
    <x v="0"/>
    <x v="2"/>
    <x v="0"/>
    <x v="14"/>
    <x v="0"/>
    <x v="22"/>
    <x v="0"/>
    <x v="0"/>
    <x v="0"/>
    <x v="0"/>
  </r>
  <r>
    <x v="1"/>
    <x v="2"/>
    <x v="1"/>
    <x v="20"/>
    <x v="5"/>
    <x v="18"/>
    <x v="0"/>
    <x v="0"/>
    <x v="0"/>
    <x v="0"/>
  </r>
  <r>
    <x v="2"/>
    <x v="2"/>
    <x v="2"/>
    <x v="20"/>
    <x v="2"/>
    <x v="2"/>
    <x v="0"/>
    <x v="0"/>
    <x v="0"/>
    <x v="0"/>
  </r>
  <r>
    <x v="3"/>
    <x v="2"/>
    <x v="3"/>
    <x v="21"/>
    <x v="3"/>
    <x v="10"/>
    <x v="0"/>
    <x v="0"/>
    <x v="0"/>
    <x v="0"/>
  </r>
  <r>
    <x v="4"/>
    <x v="2"/>
    <x v="4"/>
    <x v="22"/>
    <x v="8"/>
    <x v="8"/>
    <x v="2"/>
    <x v="3"/>
    <x v="0"/>
    <x v="0"/>
  </r>
  <r>
    <x v="5"/>
    <x v="2"/>
    <x v="5"/>
    <x v="23"/>
    <x v="5"/>
    <x v="23"/>
    <x v="0"/>
    <x v="0"/>
    <x v="0"/>
    <x v="0"/>
  </r>
  <r>
    <x v="6"/>
    <x v="2"/>
    <x v="6"/>
    <x v="24"/>
    <x v="6"/>
    <x v="18"/>
    <x v="0"/>
    <x v="0"/>
    <x v="0"/>
    <x v="0"/>
  </r>
  <r>
    <x v="7"/>
    <x v="2"/>
    <x v="7"/>
    <x v="0"/>
    <x v="7"/>
    <x v="18"/>
    <x v="0"/>
    <x v="0"/>
    <x v="0"/>
    <x v="0"/>
  </r>
  <r>
    <x v="8"/>
    <x v="2"/>
    <x v="8"/>
    <x v="25"/>
    <x v="3"/>
    <x v="23"/>
    <x v="0"/>
    <x v="0"/>
    <x v="0"/>
    <x v="0"/>
  </r>
  <r>
    <x v="9"/>
    <x v="2"/>
    <x v="9"/>
    <x v="0"/>
    <x v="9"/>
    <x v="11"/>
    <x v="0"/>
    <x v="0"/>
    <x v="0"/>
    <x v="0"/>
  </r>
  <r>
    <x v="10"/>
    <x v="2"/>
    <x v="10"/>
    <x v="14"/>
    <x v="5"/>
    <x v="11"/>
    <x v="0"/>
    <x v="0"/>
    <x v="0"/>
    <x v="0"/>
  </r>
  <r>
    <x v="11"/>
    <x v="2"/>
    <x v="11"/>
    <x v="4"/>
    <x v="10"/>
    <x v="4"/>
    <x v="0"/>
    <x v="0"/>
    <x v="0"/>
    <x v="0"/>
  </r>
  <r>
    <x v="12"/>
    <x v="2"/>
    <x v="12"/>
    <x v="12"/>
    <x v="3"/>
    <x v="9"/>
    <x v="0"/>
    <x v="0"/>
    <x v="0"/>
    <x v="0"/>
  </r>
  <r>
    <x v="0"/>
    <x v="3"/>
    <x v="0"/>
    <x v="7"/>
    <x v="0"/>
    <x v="18"/>
    <x v="0"/>
    <x v="0"/>
    <x v="0"/>
    <x v="0"/>
  </r>
  <r>
    <x v="1"/>
    <x v="3"/>
    <x v="1"/>
    <x v="10"/>
    <x v="9"/>
    <x v="18"/>
    <x v="0"/>
    <x v="0"/>
    <x v="0"/>
    <x v="0"/>
  </r>
  <r>
    <x v="2"/>
    <x v="3"/>
    <x v="2"/>
    <x v="20"/>
    <x v="6"/>
    <x v="24"/>
    <x v="0"/>
    <x v="0"/>
    <x v="0"/>
    <x v="0"/>
  </r>
  <r>
    <x v="3"/>
    <x v="3"/>
    <x v="3"/>
    <x v="17"/>
    <x v="3"/>
    <x v="19"/>
    <x v="0"/>
    <x v="0"/>
    <x v="0"/>
    <x v="0"/>
  </r>
  <r>
    <x v="4"/>
    <x v="3"/>
    <x v="4"/>
    <x v="5"/>
    <x v="8"/>
    <x v="25"/>
    <x v="2"/>
    <x v="4"/>
    <x v="0"/>
    <x v="0"/>
  </r>
  <r>
    <x v="5"/>
    <x v="3"/>
    <x v="5"/>
    <x v="26"/>
    <x v="12"/>
    <x v="26"/>
    <x v="0"/>
    <x v="0"/>
    <x v="0"/>
    <x v="0"/>
  </r>
  <r>
    <x v="6"/>
    <x v="3"/>
    <x v="6"/>
    <x v="24"/>
    <x v="6"/>
    <x v="18"/>
    <x v="0"/>
    <x v="0"/>
    <x v="0"/>
    <x v="0"/>
  </r>
  <r>
    <x v="7"/>
    <x v="3"/>
    <x v="7"/>
    <x v="7"/>
    <x v="7"/>
    <x v="27"/>
    <x v="0"/>
    <x v="0"/>
    <x v="0"/>
    <x v="0"/>
  </r>
  <r>
    <x v="8"/>
    <x v="3"/>
    <x v="8"/>
    <x v="27"/>
    <x v="9"/>
    <x v="26"/>
    <x v="0"/>
    <x v="0"/>
    <x v="0"/>
    <x v="0"/>
  </r>
  <r>
    <x v="9"/>
    <x v="3"/>
    <x v="9"/>
    <x v="0"/>
    <x v="13"/>
    <x v="1"/>
    <x v="0"/>
    <x v="0"/>
    <x v="0"/>
    <x v="0"/>
  </r>
  <r>
    <x v="10"/>
    <x v="3"/>
    <x v="10"/>
    <x v="14"/>
    <x v="5"/>
    <x v="11"/>
    <x v="0"/>
    <x v="0"/>
    <x v="0"/>
    <x v="0"/>
  </r>
  <r>
    <x v="11"/>
    <x v="3"/>
    <x v="11"/>
    <x v="10"/>
    <x v="11"/>
    <x v="20"/>
    <x v="0"/>
    <x v="0"/>
    <x v="0"/>
    <x v="0"/>
  </r>
  <r>
    <x v="12"/>
    <x v="3"/>
    <x v="12"/>
    <x v="10"/>
    <x v="3"/>
    <x v="11"/>
    <x v="0"/>
    <x v="0"/>
    <x v="0"/>
    <x v="0"/>
  </r>
  <r>
    <x v="0"/>
    <x v="4"/>
    <x v="0"/>
    <x v="7"/>
    <x v="0"/>
    <x v="18"/>
    <x v="0"/>
    <x v="0"/>
    <x v="0"/>
    <x v="0"/>
  </r>
  <r>
    <x v="1"/>
    <x v="4"/>
    <x v="1"/>
    <x v="20"/>
    <x v="2"/>
    <x v="2"/>
    <x v="0"/>
    <x v="0"/>
    <x v="0"/>
    <x v="0"/>
  </r>
  <r>
    <x v="2"/>
    <x v="4"/>
    <x v="2"/>
    <x v="4"/>
    <x v="4"/>
    <x v="4"/>
    <x v="0"/>
    <x v="0"/>
    <x v="0"/>
    <x v="0"/>
  </r>
  <r>
    <x v="3"/>
    <x v="4"/>
    <x v="3"/>
    <x v="28"/>
    <x v="3"/>
    <x v="11"/>
    <x v="0"/>
    <x v="0"/>
    <x v="0"/>
    <x v="0"/>
  </r>
  <r>
    <x v="4"/>
    <x v="4"/>
    <x v="4"/>
    <x v="29"/>
    <x v="8"/>
    <x v="25"/>
    <x v="2"/>
    <x v="5"/>
    <x v="0"/>
    <x v="0"/>
  </r>
  <r>
    <x v="5"/>
    <x v="4"/>
    <x v="5"/>
    <x v="30"/>
    <x v="5"/>
    <x v="26"/>
    <x v="0"/>
    <x v="0"/>
    <x v="0"/>
    <x v="0"/>
  </r>
  <r>
    <x v="6"/>
    <x v="4"/>
    <x v="6"/>
    <x v="22"/>
    <x v="6"/>
    <x v="1"/>
    <x v="0"/>
    <x v="0"/>
    <x v="0"/>
    <x v="0"/>
  </r>
  <r>
    <x v="7"/>
    <x v="4"/>
    <x v="7"/>
    <x v="29"/>
    <x v="7"/>
    <x v="28"/>
    <x v="0"/>
    <x v="0"/>
    <x v="0"/>
    <x v="0"/>
  </r>
  <r>
    <x v="8"/>
    <x v="4"/>
    <x v="8"/>
    <x v="4"/>
    <x v="4"/>
    <x v="4"/>
    <x v="0"/>
    <x v="0"/>
    <x v="0"/>
    <x v="0"/>
  </r>
  <r>
    <x v="9"/>
    <x v="4"/>
    <x v="9"/>
    <x v="11"/>
    <x v="13"/>
    <x v="18"/>
    <x v="0"/>
    <x v="0"/>
    <x v="0"/>
    <x v="0"/>
  </r>
  <r>
    <x v="10"/>
    <x v="4"/>
    <x v="10"/>
    <x v="31"/>
    <x v="5"/>
    <x v="29"/>
    <x v="0"/>
    <x v="0"/>
    <x v="0"/>
    <x v="0"/>
  </r>
  <r>
    <x v="11"/>
    <x v="4"/>
    <x v="11"/>
    <x v="4"/>
    <x v="10"/>
    <x v="4"/>
    <x v="0"/>
    <x v="0"/>
    <x v="0"/>
    <x v="0"/>
  </r>
  <r>
    <x v="12"/>
    <x v="4"/>
    <x v="12"/>
    <x v="25"/>
    <x v="3"/>
    <x v="23"/>
    <x v="0"/>
    <x v="0"/>
    <x v="0"/>
    <x v="0"/>
  </r>
  <r>
    <x v="0"/>
    <x v="5"/>
    <x v="0"/>
    <x v="24"/>
    <x v="0"/>
    <x v="30"/>
    <x v="0"/>
    <x v="0"/>
    <x v="0"/>
    <x v="0"/>
  </r>
  <r>
    <x v="1"/>
    <x v="5"/>
    <x v="1"/>
    <x v="4"/>
    <x v="4"/>
    <x v="4"/>
    <x v="0"/>
    <x v="0"/>
    <x v="0"/>
    <x v="0"/>
  </r>
  <r>
    <x v="2"/>
    <x v="5"/>
    <x v="2"/>
    <x v="20"/>
    <x v="2"/>
    <x v="2"/>
    <x v="0"/>
    <x v="0"/>
    <x v="0"/>
    <x v="0"/>
  </r>
  <r>
    <x v="3"/>
    <x v="5"/>
    <x v="3"/>
    <x v="17"/>
    <x v="3"/>
    <x v="19"/>
    <x v="0"/>
    <x v="0"/>
    <x v="0"/>
    <x v="0"/>
  </r>
  <r>
    <x v="4"/>
    <x v="5"/>
    <x v="4"/>
    <x v="8"/>
    <x v="8"/>
    <x v="31"/>
    <x v="3"/>
    <x v="5"/>
    <x v="0"/>
    <x v="0"/>
  </r>
  <r>
    <x v="5"/>
    <x v="5"/>
    <x v="5"/>
    <x v="20"/>
    <x v="13"/>
    <x v="22"/>
    <x v="0"/>
    <x v="0"/>
    <x v="0"/>
    <x v="0"/>
  </r>
  <r>
    <x v="6"/>
    <x v="5"/>
    <x v="6"/>
    <x v="32"/>
    <x v="6"/>
    <x v="32"/>
    <x v="0"/>
    <x v="0"/>
    <x v="0"/>
    <x v="0"/>
  </r>
  <r>
    <x v="7"/>
    <x v="5"/>
    <x v="7"/>
    <x v="33"/>
    <x v="7"/>
    <x v="24"/>
    <x v="0"/>
    <x v="0"/>
    <x v="0"/>
    <x v="0"/>
  </r>
  <r>
    <x v="8"/>
    <x v="5"/>
    <x v="8"/>
    <x v="4"/>
    <x v="4"/>
    <x v="4"/>
    <x v="0"/>
    <x v="0"/>
    <x v="0"/>
    <x v="0"/>
  </r>
  <r>
    <x v="9"/>
    <x v="5"/>
    <x v="9"/>
    <x v="24"/>
    <x v="14"/>
    <x v="23"/>
    <x v="0"/>
    <x v="0"/>
    <x v="0"/>
    <x v="0"/>
  </r>
  <r>
    <x v="10"/>
    <x v="5"/>
    <x v="10"/>
    <x v="34"/>
    <x v="15"/>
    <x v="23"/>
    <x v="0"/>
    <x v="0"/>
    <x v="0"/>
    <x v="0"/>
  </r>
  <r>
    <x v="11"/>
    <x v="5"/>
    <x v="11"/>
    <x v="4"/>
    <x v="10"/>
    <x v="4"/>
    <x v="0"/>
    <x v="0"/>
    <x v="0"/>
    <x v="0"/>
  </r>
  <r>
    <x v="12"/>
    <x v="5"/>
    <x v="12"/>
    <x v="25"/>
    <x v="3"/>
    <x v="23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compactData="0" showDrill="1" multipleFieldFilters="0" fieldListSortAscending="1" grandTotalCaption="Tổng giờ">
  <location ref="B2:C16" firstHeaderRow="1" firstDataRow="1" firstDataCol="1"/>
  <pivotFields count="10"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>
      <items count="301">
        <item m="1" x="298"/>
        <item m="1" x="299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x="0"/>
        <item x="1"/>
        <item x="2"/>
        <item x="3"/>
        <item x="4"/>
        <item x="5"/>
        <item m="1" x="6"/>
        <item t="default"/>
      </items>
    </pivotField>
    <pivotField axis="axisRow" compact="0" outline="0" showAll="0">
      <items count="31">
        <item m="1" x="15"/>
        <item m="1" x="14"/>
        <item x="1"/>
        <item x="12"/>
        <item x="0"/>
        <item m="1" x="28"/>
        <item x="4"/>
        <item x="3"/>
        <item m="1" x="25"/>
        <item m="1" x="21"/>
        <item x="5"/>
        <item m="1" x="16"/>
        <item m="1" x="23"/>
        <item m="1" x="22"/>
        <item m="1" x="24"/>
        <item m="1" x="27"/>
        <item m="1" x="29"/>
        <item x="10"/>
        <item m="1" x="26"/>
        <item x="11"/>
        <item x="6"/>
        <item x="9"/>
        <item m="1" x="18"/>
        <item m="1" x="19"/>
        <item m="1" x="20"/>
        <item x="7"/>
        <item m="1" x="17"/>
        <item x="2"/>
        <item x="8"/>
        <item m="1" x="13"/>
        <item t="default"/>
      </items>
    </pivotField>
    <pivotField dataField="1" compact="0" outline="0" showAll="0">
      <items count="36">
        <item x="4"/>
        <item x="20"/>
        <item x="0"/>
        <item x="22"/>
        <item x="7"/>
        <item x="14"/>
        <item x="5"/>
        <item x="24"/>
        <item x="23"/>
        <item x="29"/>
        <item x="2"/>
        <item x="11"/>
        <item x="9"/>
        <item x="27"/>
        <item x="31"/>
        <item x="30"/>
        <item x="25"/>
        <item x="10"/>
        <item x="8"/>
        <item x="16"/>
        <item x="34"/>
        <item x="26"/>
        <item x="3"/>
        <item x="18"/>
        <item x="28"/>
        <item x="6"/>
        <item x="32"/>
        <item x="15"/>
        <item x="19"/>
        <item x="12"/>
        <item x="1"/>
        <item x="13"/>
        <item x="17"/>
        <item x="21"/>
        <item x="33"/>
        <item t="default"/>
      </items>
    </pivotField>
    <pivotField compact="0" outline="0" showAll="0">
      <items count="17">
        <item x="4"/>
        <item x="8"/>
        <item x="0"/>
        <item x="11"/>
        <item x="2"/>
        <item x="6"/>
        <item x="13"/>
        <item x="5"/>
        <item x="12"/>
        <item x="15"/>
        <item x="9"/>
        <item x="3"/>
        <item x="10"/>
        <item x="14"/>
        <item x="7"/>
        <item x="1"/>
        <item t="default"/>
      </items>
    </pivotField>
    <pivotField compact="0" outline="0" showAll="0">
      <items count="34">
        <item x="8"/>
        <item x="25"/>
        <item x="20"/>
        <item x="2"/>
        <item x="0"/>
        <item x="30"/>
        <item x="22"/>
        <item x="12"/>
        <item x="18"/>
        <item x="1"/>
        <item x="27"/>
        <item x="9"/>
        <item x="11"/>
        <item x="10"/>
        <item x="19"/>
        <item x="28"/>
        <item x="3"/>
        <item x="23"/>
        <item x="26"/>
        <item x="5"/>
        <item x="4"/>
        <item x="15"/>
        <item x="29"/>
        <item x="24"/>
        <item x="31"/>
        <item x="21"/>
        <item x="17"/>
        <item x="32"/>
        <item x="6"/>
        <item x="7"/>
        <item x="13"/>
        <item x="14"/>
        <item x="16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>
      <items count="7">
        <item x="4"/>
        <item x="0"/>
        <item x="5"/>
        <item x="1"/>
        <item x="2"/>
        <item x="3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</pivotFields>
  <rowFields count="1">
    <field x="2"/>
  </rowFields>
  <rowItems count="14">
    <i>
      <x v="2"/>
    </i>
    <i>
      <x v="3"/>
    </i>
    <i>
      <x v="4"/>
    </i>
    <i>
      <x v="6"/>
    </i>
    <i>
      <x v="7"/>
    </i>
    <i>
      <x v="10"/>
    </i>
    <i>
      <x v="17"/>
    </i>
    <i>
      <x v="19"/>
    </i>
    <i>
      <x v="20"/>
    </i>
    <i>
      <x v="21"/>
    </i>
    <i>
      <x v="25"/>
    </i>
    <i>
      <x v="27"/>
    </i>
    <i>
      <x v="28"/>
    </i>
    <i t="grand">
      <x/>
    </i>
  </rowItems>
  <colItems count="1">
    <i/>
  </colItems>
  <dataFields count="1">
    <dataField name="Tổng Số Giờ/Tháng" fld="3" baseField="0" baseItem="0"/>
  </dataFields>
  <formats count="41">
    <format dxfId="0">
      <pivotArea grandRow="1" outline="0" collapsedLevelsAreSubtotals="1" fieldPosition="0"/>
    </format>
    <format dxfId="1">
      <pivotArea outline="0" fieldPosition="0">
        <references count="1">
          <reference field="2" count="0" selected="0"/>
        </references>
      </pivotArea>
    </format>
    <format dxfId="2">
      <pivotArea type="all" dataOnly="0" outline="0" fieldPosition="0"/>
    </format>
    <format dxfId="3">
      <pivotArea outline="0" collapsedLevelsAreSubtotals="1" fieldPosition="0"/>
    </format>
    <format dxfId="4">
      <pivotArea field="2" type="button" dataOnly="0" labelOnly="1" outline="0" fieldPosition="0"/>
    </format>
    <format dxfId="5">
      <pivotArea dataOnly="0" labelOnly="1" outline="0" fieldPosition="0">
        <references count="1">
          <reference field="2" count="0"/>
        </references>
      </pivotArea>
    </format>
    <format dxfId="6">
      <pivotArea dataOnly="0" labelOnly="1" grandRow="1" outline="0" fieldPosition="0"/>
    </format>
    <format dxfId="7">
      <pivotArea dataOnly="0" labelOnly="1" outline="0" fieldPosition="0"/>
    </format>
    <format dxfId="8">
      <pivotArea outline="0" fieldPosition="0">
        <references count="1">
          <reference field="2" count="10" selected="0">
            <x v="2"/>
            <x v="3"/>
            <x v="4"/>
            <x v="6"/>
            <x v="7"/>
            <x v="10"/>
            <x v="17"/>
            <x v="19"/>
            <x v="20"/>
            <x v="25"/>
          </reference>
        </references>
      </pivotArea>
    </format>
    <format dxfId="9">
      <pivotArea dataOnly="0" labelOnly="1" outline="0" fieldPosition="0">
        <references count="1">
          <reference field="2" count="10">
            <x v="2"/>
            <x v="3"/>
            <x v="4"/>
            <x v="6"/>
            <x v="7"/>
            <x v="10"/>
            <x v="17"/>
            <x v="19"/>
            <x v="20"/>
            <x v="25"/>
          </reference>
        </references>
      </pivotArea>
    </format>
    <format dxfId="10">
      <pivotArea outline="0" fieldPosition="0">
        <references count="1">
          <reference field="2" count="0" selected="0"/>
        </references>
      </pivotArea>
    </format>
    <format dxfId="11">
      <pivotArea dataOnly="0" labelOnly="1" fieldPosition="0">
        <references count="1">
          <reference field="2" count="1">
            <x v="29"/>
          </reference>
        </references>
      </pivotArea>
    </format>
    <format dxfId="12">
      <pivotArea collapsedLevelsAreSubtotals="1" fieldPosition="0">
        <references count="1">
          <reference field="2" count="1" selected="0">
            <x v="29"/>
          </reference>
        </references>
      </pivotArea>
    </format>
    <format dxfId="13">
      <pivotArea dataOnly="0" labelOnly="1" fieldPosition="0">
        <references count="1">
          <reference field="2" count="1">
            <x v="2"/>
          </reference>
        </references>
      </pivotArea>
    </format>
    <format dxfId="14">
      <pivotArea dataOnly="0" labelOnly="1" fieldPosition="0">
        <references count="1">
          <reference field="2" count="1">
            <x v="3"/>
          </reference>
        </references>
      </pivotArea>
    </format>
    <format dxfId="15">
      <pivotArea dataOnly="0" labelOnly="1" fieldPosition="0">
        <references count="1">
          <reference field="2" count="1">
            <x v="4"/>
          </reference>
        </references>
      </pivotArea>
    </format>
    <format dxfId="16">
      <pivotArea dataOnly="0" labelOnly="1" fieldPosition="0">
        <references count="1">
          <reference field="2" count="1">
            <x v="6"/>
          </reference>
        </references>
      </pivotArea>
    </format>
    <format dxfId="17">
      <pivotArea dataOnly="0" labelOnly="1" fieldPosition="0">
        <references count="1">
          <reference field="2" count="1">
            <x v="7"/>
          </reference>
        </references>
      </pivotArea>
    </format>
    <format dxfId="18">
      <pivotArea dataOnly="0" labelOnly="1" fieldPosition="0">
        <references count="1">
          <reference field="2" count="1">
            <x v="10"/>
          </reference>
        </references>
      </pivotArea>
    </format>
    <format dxfId="19">
      <pivotArea dataOnly="0" labelOnly="1" fieldPosition="0">
        <references count="1">
          <reference field="2" count="1">
            <x v="17"/>
          </reference>
        </references>
      </pivotArea>
    </format>
    <format dxfId="20">
      <pivotArea dataOnly="0" labelOnly="1" fieldPosition="0">
        <references count="1">
          <reference field="2" count="1">
            <x v="19"/>
          </reference>
        </references>
      </pivotArea>
    </format>
    <format dxfId="21">
      <pivotArea dataOnly="0" labelOnly="1" fieldPosition="0">
        <references count="1">
          <reference field="2" count="1">
            <x v="20"/>
          </reference>
        </references>
      </pivotArea>
    </format>
    <format dxfId="22">
      <pivotArea dataOnly="0" labelOnly="1" fieldPosition="0">
        <references count="1">
          <reference field="2" count="1">
            <x v="21"/>
          </reference>
        </references>
      </pivotArea>
    </format>
    <format dxfId="23">
      <pivotArea dataOnly="0" labelOnly="1" fieldPosition="0">
        <references count="1">
          <reference field="2" count="1">
            <x v="25"/>
          </reference>
        </references>
      </pivotArea>
    </format>
    <format dxfId="24">
      <pivotArea dataOnly="0" labelOnly="1" fieldPosition="0">
        <references count="1">
          <reference field="2" count="1">
            <x v="27"/>
          </reference>
        </references>
      </pivotArea>
    </format>
    <format dxfId="25">
      <pivotArea dataOnly="0" labelOnly="1" fieldPosition="0">
        <references count="1">
          <reference field="2" count="1">
            <x v="28"/>
          </reference>
        </references>
      </pivotArea>
    </format>
    <format dxfId="26">
      <pivotArea collapsedLevelsAreSubtotals="1" fieldPosition="0">
        <references count="1">
          <reference field="2" count="1" selected="0">
            <x v="2"/>
          </reference>
        </references>
      </pivotArea>
    </format>
    <format dxfId="27">
      <pivotArea collapsedLevelsAreSubtotals="1" fieldPosition="0">
        <references count="1">
          <reference field="2" count="1" selected="0">
            <x v="3"/>
          </reference>
        </references>
      </pivotArea>
    </format>
    <format dxfId="28">
      <pivotArea collapsedLevelsAreSubtotals="1" fieldPosition="0">
        <references count="1">
          <reference field="2" count="1" selected="0">
            <x v="4"/>
          </reference>
        </references>
      </pivotArea>
    </format>
    <format dxfId="29">
      <pivotArea collapsedLevelsAreSubtotals="1" fieldPosition="0">
        <references count="1">
          <reference field="2" count="1" selected="0">
            <x v="6"/>
          </reference>
        </references>
      </pivotArea>
    </format>
    <format dxfId="30">
      <pivotArea collapsedLevelsAreSubtotals="1" fieldPosition="0">
        <references count="1">
          <reference field="2" count="1" selected="0">
            <x v="7"/>
          </reference>
        </references>
      </pivotArea>
    </format>
    <format dxfId="31">
      <pivotArea collapsedLevelsAreSubtotals="1" fieldPosition="0">
        <references count="1">
          <reference field="2" count="1" selected="0">
            <x v="10"/>
          </reference>
        </references>
      </pivotArea>
    </format>
    <format dxfId="32">
      <pivotArea collapsedLevelsAreSubtotals="1" fieldPosition="0">
        <references count="1">
          <reference field="2" count="1" selected="0">
            <x v="17"/>
          </reference>
        </references>
      </pivotArea>
    </format>
    <format dxfId="33">
      <pivotArea collapsedLevelsAreSubtotals="1" fieldPosition="0">
        <references count="1">
          <reference field="2" count="1" selected="0">
            <x v="19"/>
          </reference>
        </references>
      </pivotArea>
    </format>
    <format dxfId="34">
      <pivotArea collapsedLevelsAreSubtotals="1" fieldPosition="0">
        <references count="1">
          <reference field="2" count="1" selected="0">
            <x v="20"/>
          </reference>
        </references>
      </pivotArea>
    </format>
    <format dxfId="35">
      <pivotArea collapsedLevelsAreSubtotals="1" fieldPosition="0">
        <references count="1">
          <reference field="2" count="1" selected="0">
            <x v="21"/>
          </reference>
        </references>
      </pivotArea>
    </format>
    <format dxfId="36">
      <pivotArea collapsedLevelsAreSubtotals="1" fieldPosition="0">
        <references count="1">
          <reference field="2" count="1" selected="0">
            <x v="25"/>
          </reference>
        </references>
      </pivotArea>
    </format>
    <format dxfId="37">
      <pivotArea collapsedLevelsAreSubtotals="1" fieldPosition="0">
        <references count="1">
          <reference field="2" count="1" selected="0">
            <x v="27"/>
          </reference>
        </references>
      </pivotArea>
    </format>
    <format dxfId="38">
      <pivotArea collapsedLevelsAreSubtotals="1" fieldPosition="0">
        <references count="1">
          <reference field="2" count="1" selected="0">
            <x v="28"/>
          </reference>
        </references>
      </pivotArea>
    </format>
    <format dxfId="39">
      <pivotArea dataOnly="0" labelOnly="1" fieldPosition="0">
        <references count="1">
          <reference field="2" count="1">
            <x v="1"/>
          </reference>
        </references>
      </pivotArea>
    </format>
    <format dxfId="40">
      <pivotArea collapsedLevelsAreSubtotals="1" fieldPosition="0">
        <references count="1">
          <reference field="2" count="1" selected="0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rowHeaderCaption="Ngày" grandTotalCaption="Total">
  <location ref="A5:F12" firstHeaderRow="0" firstDataRow="1" firstDataCol="1" rowPageCount="1" colPageCount="1"/>
  <pivotFields count="10"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sortType="ascending" showAll="0">
      <items count="301">
        <item m="1" x="298"/>
        <item m="1" x="299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x="0"/>
        <item x="1"/>
        <item x="2"/>
        <item x="3"/>
        <item x="4"/>
        <item x="5"/>
        <item m="1" x="6"/>
        <item t="default"/>
      </items>
    </pivotField>
    <pivotField axis="axisPage" multipleItemSelectionAllowed="1" showAll="0">
      <items count="31">
        <item h="1" x="1"/>
        <item h="1" x="0"/>
        <item h="1" x="3"/>
        <item x="12"/>
        <item h="1" x="4"/>
        <item h="1" m="1" x="15"/>
        <item h="1" m="1" x="28"/>
        <item h="1" m="1" x="14"/>
        <item h="1" m="1" x="25"/>
        <item h="1" m="1" x="21"/>
        <item h="1" x="5"/>
        <item h="1" m="1" x="16"/>
        <item h="1" m="1" x="23"/>
        <item h="1" m="1" x="22"/>
        <item h="1" m="1" x="24"/>
        <item h="1" m="1" x="27"/>
        <item h="1" m="1" x="29"/>
        <item h="1" x="10"/>
        <item h="1" m="1" x="26"/>
        <item h="1" x="11"/>
        <item h="1" x="6"/>
        <item h="1" x="9"/>
        <item h="1" m="1" x="18"/>
        <item h="1" m="1" x="19"/>
        <item h="1" m="1" x="20"/>
        <item h="1" x="7"/>
        <item h="1" m="1" x="17"/>
        <item h="1" x="2"/>
        <item h="1" x="8"/>
        <item h="1" m="1" x="13"/>
        <item t="default"/>
      </items>
    </pivotField>
    <pivotField dataField="1" numFmtId="181" showAll="0">
      <items count="36">
        <item x="4"/>
        <item x="20"/>
        <item x="0"/>
        <item x="22"/>
        <item x="7"/>
        <item x="14"/>
        <item x="5"/>
        <item x="24"/>
        <item x="23"/>
        <item x="29"/>
        <item x="2"/>
        <item x="11"/>
        <item x="9"/>
        <item x="27"/>
        <item x="31"/>
        <item x="30"/>
        <item x="25"/>
        <item x="10"/>
        <item x="8"/>
        <item x="16"/>
        <item x="34"/>
        <item x="26"/>
        <item x="3"/>
        <item x="18"/>
        <item x="28"/>
        <item x="6"/>
        <item x="32"/>
        <item x="15"/>
        <item x="19"/>
        <item x="12"/>
        <item x="1"/>
        <item x="13"/>
        <item x="17"/>
        <item x="21"/>
        <item x="33"/>
        <item t="default"/>
      </items>
    </pivotField>
    <pivotField dataField="1" showAll="0">
      <items count="17">
        <item x="4"/>
        <item x="8"/>
        <item x="0"/>
        <item x="6"/>
        <item x="13"/>
        <item x="9"/>
        <item x="3"/>
        <item x="2"/>
        <item x="5"/>
        <item x="10"/>
        <item x="11"/>
        <item x="15"/>
        <item x="12"/>
        <item x="14"/>
        <item x="7"/>
        <item x="1"/>
        <item t="default"/>
      </items>
    </pivotField>
    <pivotField dataField="1" showAll="0">
      <items count="34">
        <item x="0"/>
        <item x="9"/>
        <item x="11"/>
        <item x="23"/>
        <item x="4"/>
        <item x="28"/>
        <item x="22"/>
        <item x="18"/>
        <item x="12"/>
        <item x="25"/>
        <item x="26"/>
        <item x="27"/>
        <item x="10"/>
        <item x="1"/>
        <item x="30"/>
        <item x="5"/>
        <item x="2"/>
        <item x="8"/>
        <item x="20"/>
        <item x="3"/>
        <item x="19"/>
        <item x="15"/>
        <item x="29"/>
        <item x="24"/>
        <item x="31"/>
        <item x="21"/>
        <item x="17"/>
        <item x="32"/>
        <item x="6"/>
        <item x="7"/>
        <item x="13"/>
        <item x="14"/>
        <item x="16"/>
        <item t="default"/>
      </items>
    </pivotField>
    <pivotField dataField="1" showAll="0">
      <items count="5">
        <item x="2"/>
        <item x="0"/>
        <item x="1"/>
        <item x="3"/>
        <item t="default"/>
      </items>
    </pivotField>
    <pivotField dataField="1" showAll="0">
      <items count="7">
        <item x="0"/>
        <item x="4"/>
        <item x="5"/>
        <item x="1"/>
        <item x="2"/>
        <item x="3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</pivotFields>
  <rowFields count="1">
    <field x="1"/>
  </rowFields>
  <rowItems count="7">
    <i>
      <x v="293"/>
    </i>
    <i>
      <x v="294"/>
    </i>
    <i>
      <x v="295"/>
    </i>
    <i>
      <x v="296"/>
    </i>
    <i>
      <x v="297"/>
    </i>
    <i>
      <x v="29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2"/>
  </pageFields>
  <dataFields count="5">
    <dataField name="Vào sáng" fld="4" subtotal="product" baseField="1" baseItem="0" numFmtId="177"/>
    <dataField name="Ra sáng" fld="5" subtotal="product" baseField="1" baseItem="0" numFmtId="177"/>
    <dataField name="Vào chiều" fld="6" subtotal="product" baseField="1" baseItem="0" numFmtId="177"/>
    <dataField name="Ra chiều" fld="7" subtotal="product" baseField="1" baseItem="0" numFmtId="177"/>
    <dataField name="Tổng Giờ" fld="3" baseField="1" baseItem="0"/>
  </dataFields>
  <formats count="21">
    <format dxfId="41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42">
      <pivotArea type="all" dataOnly="0" outline="0" fieldPosition="0"/>
    </format>
    <format dxfId="43">
      <pivotArea outline="0" collapsedLevelsAreSubtotals="1" fieldPosition="0"/>
    </format>
    <format dxfId="44">
      <pivotArea field="1" type="button" dataOnly="0" labelOnly="1" outline="0" fieldPosition="0"/>
    </format>
    <format dxfId="45">
      <pivotArea dataOnly="0" labelOnly="1" fieldPosition="0">
        <references count="1">
          <reference field="1" count="0"/>
        </references>
      </pivotArea>
    </format>
    <format dxfId="46">
      <pivotArea dataOnly="0" labelOnly="1" grandRow="1" outline="0" fieldPosition="0"/>
    </format>
    <format dxfId="4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8">
      <pivotArea field="1" type="button" dataOnly="0" labelOnly="1" outline="0" fieldPosition="0"/>
    </format>
    <format dxfId="4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0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51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52">
      <pivotArea dataOnly="0" labelOnly="1" outline="0" fieldPosition="0">
        <references count="1">
          <reference field="2" count="0"/>
        </references>
      </pivotArea>
    </format>
    <format dxfId="53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54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55">
      <pivotArea field="2" type="button" dataOnly="0" labelOnly="1" outline="0" fieldPosition="0"/>
    </format>
    <format dxfId="56">
      <pivotArea field="1" type="button" dataOnly="0" labelOnly="1" outline="0" fieldPosition="0"/>
    </format>
    <format dxfId="57">
      <pivotArea dataOnly="0" labelOnly="1" fieldPosition="0">
        <references count="1">
          <reference field="1" count="0"/>
        </references>
      </pivotArea>
    </format>
    <format dxfId="58">
      <pivotArea dataOnly="0" labelOnly="1" grandRow="1" outline="0" fieldPosition="0"/>
    </format>
    <format dxfId="59">
      <pivotArea dataOnly="0" labelOnly="1" outline="0" fieldPosition="0">
        <references count="1">
          <reference field="2" count="0"/>
        </references>
      </pivotArea>
    </format>
    <format dxfId="60">
      <pivotArea grandRow="1" outline="0" collapsedLevelsAreSubtotals="1" fieldPosition="0">
        <references count="1">
          <reference field="4294967294" count="1" selected="0">
            <x v="4"/>
          </reference>
        </references>
      </pivotArea>
    </format>
    <format dxfId="61">
      <pivotArea collapsedLevelsAreSubtotals="1" fieldPosition="0">
        <references count="2">
          <reference field="4294967294" count="1" selected="0">
            <x v="4"/>
          </reference>
          <reference field="1" count="0"/>
        </references>
      </pivotArea>
    </format>
  </formats>
  <pivotTableStyleInfo name="PivotStyleMedium7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ên_NV" sourceName="Tên NV">
  <pivotTables>
    <pivotTable tabId="4" name="PivotTable1"/>
  </pivotTables>
  <data>
    <tabular pivotCacheId="1">
      <items count="30">
        <i x="5" s="0"/>
        <i x="2" s="0"/>
        <i x="6" s="0"/>
        <i x="9" s="0"/>
        <i x="11" s="0"/>
        <i x="1" s="0"/>
        <i x="7" s="0"/>
        <i x="12" s="1"/>
        <i x="8" s="0"/>
        <i x="0" s="0"/>
        <i x="4" s="0"/>
        <i x="3" s="0"/>
        <i x="10" s="0"/>
        <i x="15" s="0" nd="1"/>
        <i x="19" s="0" nd="1"/>
        <i x="26" s="0" nd="1"/>
        <i x="17" s="0" nd="1"/>
        <i x="18" s="0" nd="1"/>
        <i x="21" s="0" nd="1"/>
        <i x="27" s="0" nd="1"/>
        <i x="25" s="0" nd="1"/>
        <i x="14" s="0" nd="1"/>
        <i x="23" s="0" nd="1"/>
        <i x="16" s="0" nd="1"/>
        <i x="22" s="0" nd="1"/>
        <i x="20" s="0" nd="1"/>
        <i x="28" s="0" nd="1"/>
        <i x="13" s="0" nd="1"/>
        <i x="24" s="0" nd="1"/>
        <i x="29" s="0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Tên NV" cache="Slicer_Tên_NV" caption="Tên NV" rowHeight="257175"/>
</slicers>
</file>

<file path=xl/tables/table1.xml><?xml version="1.0" encoding="utf-8"?>
<table xmlns="http://schemas.openxmlformats.org/spreadsheetml/2006/main" id="1" name="Table1" displayName="Table1" ref="B2:K80" totalsRowShown="0">
  <autoFilter xmlns:etc="http://www.wps.cn/officeDocument/2017/etCustomData" ref="B2:K80" etc:filterBottomFollowUsedRange="0"/>
  <tableColumns count="10">
    <tableColumn id="1" name="STT" dataDxfId="62"/>
    <tableColumn id="2" name="Ngày" dataDxfId="63"/>
    <tableColumn id="3" name="Tên NV" dataDxfId="64"/>
    <tableColumn id="4" name="Số Giờ" dataDxfId="65">
      <calculatedColumnFormula>IF(F3="OFF",0,((G3-F3)+(I3-H3)+(K3-J3))*24)</calculatedColumnFormula>
    </tableColumn>
    <tableColumn id="5" name="Giờ vào sáng" dataDxfId="66"/>
    <tableColumn id="6" name="Giờ ra sáng" dataDxfId="67"/>
    <tableColumn id="7" name="Giờ vào chiều" dataDxfId="68"/>
    <tableColumn id="8" name="Giờ ra chiều" dataDxfId="69"/>
    <tableColumn id="9" name="Column1" dataDxfId="70"/>
    <tableColumn id="10" name="Column2" dataDxfId="7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80"/>
  <sheetViews>
    <sheetView showGridLines="0" topLeftCell="A71" workbookViewId="0">
      <selection activeCell="I94" sqref="I94"/>
    </sheetView>
  </sheetViews>
  <sheetFormatPr defaultColWidth="8.66666666666667" defaultRowHeight="13.8"/>
  <cols>
    <col min="1" max="1" width="5.44444444444444" style="19" customWidth="1"/>
    <col min="2" max="2" width="5.33333333333333" style="19" customWidth="1"/>
    <col min="3" max="3" width="17.4444444444444" style="19" customWidth="1"/>
    <col min="4" max="4" width="13.3333333333333" style="19" customWidth="1"/>
    <col min="5" max="5" width="10.4444444444444" style="19" customWidth="1"/>
    <col min="6" max="9" width="14.4444444444444" style="19" customWidth="1"/>
    <col min="10" max="16384" width="8.66666666666667" style="19"/>
  </cols>
  <sheetData>
    <row r="1" ht="14.4" customHeight="1"/>
    <row r="2" spans="2:11">
      <c r="B2" s="71" t="s">
        <v>0</v>
      </c>
      <c r="C2" s="71" t="s">
        <v>1</v>
      </c>
      <c r="D2" s="71" t="s">
        <v>2</v>
      </c>
      <c r="E2" s="71" t="s">
        <v>3</v>
      </c>
      <c r="F2" s="71" t="s">
        <v>4</v>
      </c>
      <c r="G2" s="71" t="s">
        <v>5</v>
      </c>
      <c r="H2" s="71" t="s">
        <v>6</v>
      </c>
      <c r="I2" s="71" t="s">
        <v>7</v>
      </c>
      <c r="J2" s="71" t="s">
        <v>8</v>
      </c>
      <c r="K2" s="71" t="s">
        <v>9</v>
      </c>
    </row>
    <row r="3" spans="2:11">
      <c r="B3" s="71">
        <v>1</v>
      </c>
      <c r="C3" s="72">
        <v>46266</v>
      </c>
      <c r="D3" s="73" t="s">
        <v>10</v>
      </c>
      <c r="E3" s="74">
        <f t="shared" ref="E3:E34" si="0">IF(F3="OFF",0,((G3-F3)+(I3-H3)+(K3-J3))*24)</f>
        <v>10</v>
      </c>
      <c r="F3" s="75">
        <v>0.25</v>
      </c>
      <c r="G3" s="75">
        <v>0.666666666666667</v>
      </c>
      <c r="H3" s="75"/>
      <c r="I3" s="75"/>
      <c r="J3" s="75"/>
      <c r="K3" s="75"/>
    </row>
    <row r="4" spans="2:11">
      <c r="B4" s="71">
        <v>2</v>
      </c>
      <c r="C4" s="72">
        <v>46266</v>
      </c>
      <c r="D4" s="73" t="s">
        <v>11</v>
      </c>
      <c r="E4" s="74">
        <f t="shared" si="0"/>
        <v>4</v>
      </c>
      <c r="F4" s="75">
        <v>0.625</v>
      </c>
      <c r="G4" s="75">
        <v>0.791666666666667</v>
      </c>
      <c r="H4" s="75"/>
      <c r="I4" s="75"/>
      <c r="J4" s="75"/>
      <c r="K4" s="75"/>
    </row>
    <row r="5" spans="2:11">
      <c r="B5" s="71">
        <v>3</v>
      </c>
      <c r="C5" s="72">
        <v>46266</v>
      </c>
      <c r="D5" s="73" t="s">
        <v>12</v>
      </c>
      <c r="E5" s="74">
        <f t="shared" si="0"/>
        <v>7.99999999999999</v>
      </c>
      <c r="F5" s="75">
        <v>0.291666666666667</v>
      </c>
      <c r="G5" s="75">
        <v>0.625</v>
      </c>
      <c r="H5" s="75"/>
      <c r="I5" s="75"/>
      <c r="J5" s="75"/>
      <c r="K5" s="75"/>
    </row>
    <row r="6" spans="2:11">
      <c r="B6" s="71">
        <v>4</v>
      </c>
      <c r="C6" s="72">
        <v>46266</v>
      </c>
      <c r="D6" s="73" t="s">
        <v>13</v>
      </c>
      <c r="E6" s="74">
        <f t="shared" si="0"/>
        <v>7.75000000000001</v>
      </c>
      <c r="F6" s="75">
        <v>0.583333333333333</v>
      </c>
      <c r="G6" s="75">
        <v>0.90625</v>
      </c>
      <c r="H6" s="75"/>
      <c r="I6" s="75"/>
      <c r="J6" s="75"/>
      <c r="K6" s="75"/>
    </row>
    <row r="7" spans="2:11">
      <c r="B7" s="71">
        <v>5</v>
      </c>
      <c r="C7" s="72">
        <v>46266</v>
      </c>
      <c r="D7" s="73" t="s">
        <v>14</v>
      </c>
      <c r="E7" s="74">
        <f t="shared" si="0"/>
        <v>0</v>
      </c>
      <c r="F7" s="75" t="s">
        <v>15</v>
      </c>
      <c r="G7" s="75"/>
      <c r="H7" s="75"/>
      <c r="I7" s="75"/>
      <c r="J7" s="75"/>
      <c r="K7" s="75"/>
    </row>
    <row r="8" spans="2:11">
      <c r="B8" s="71">
        <v>6</v>
      </c>
      <c r="C8" s="72">
        <v>46266</v>
      </c>
      <c r="D8" s="73" t="s">
        <v>16</v>
      </c>
      <c r="E8" s="74">
        <f t="shared" si="0"/>
        <v>13</v>
      </c>
      <c r="F8" s="75">
        <v>0.416666666666667</v>
      </c>
      <c r="G8" s="75">
        <v>0.958333333333333</v>
      </c>
      <c r="H8" s="75"/>
      <c r="I8" s="75"/>
      <c r="J8" s="75"/>
      <c r="K8" s="75"/>
    </row>
    <row r="9" spans="2:11">
      <c r="B9" s="71">
        <v>7</v>
      </c>
      <c r="C9" s="72">
        <v>46266</v>
      </c>
      <c r="D9" s="73" t="s">
        <v>17</v>
      </c>
      <c r="E9" s="74">
        <f t="shared" si="0"/>
        <v>10.6666666666667</v>
      </c>
      <c r="F9" s="75">
        <v>0.3125</v>
      </c>
      <c r="G9" s="75">
        <v>0.756944444444444</v>
      </c>
      <c r="H9" s="75"/>
      <c r="I9" s="75"/>
      <c r="J9" s="75"/>
      <c r="K9" s="75"/>
    </row>
    <row r="10" spans="2:11">
      <c r="B10" s="71">
        <v>8</v>
      </c>
      <c r="C10" s="72">
        <v>46266</v>
      </c>
      <c r="D10" s="73" t="s">
        <v>18</v>
      </c>
      <c r="E10" s="74">
        <f t="shared" si="0"/>
        <v>7.75000000000001</v>
      </c>
      <c r="F10" s="75">
        <v>0.333333333333333</v>
      </c>
      <c r="G10" s="75">
        <v>0.65625</v>
      </c>
      <c r="H10" s="75"/>
      <c r="I10" s="75"/>
      <c r="J10" s="75"/>
      <c r="K10" s="75"/>
    </row>
    <row r="11" spans="2:11">
      <c r="B11" s="71">
        <v>9</v>
      </c>
      <c r="C11" s="72">
        <v>46266</v>
      </c>
      <c r="D11" s="73" t="s">
        <v>19</v>
      </c>
      <c r="E11" s="74">
        <f t="shared" si="0"/>
        <v>12</v>
      </c>
      <c r="F11" s="75">
        <v>0.166666666666667</v>
      </c>
      <c r="G11" s="75">
        <v>0.416666666666667</v>
      </c>
      <c r="H11" s="75">
        <v>0.708333333333333</v>
      </c>
      <c r="I11" s="75">
        <v>0.958333333333333</v>
      </c>
      <c r="J11" s="75"/>
      <c r="K11" s="75"/>
    </row>
    <row r="12" spans="2:11">
      <c r="B12" s="71">
        <v>10</v>
      </c>
      <c r="C12" s="72">
        <v>46266</v>
      </c>
      <c r="D12" s="73" t="s">
        <v>20</v>
      </c>
      <c r="E12" s="74">
        <f t="shared" si="0"/>
        <v>9.5</v>
      </c>
      <c r="F12" s="75">
        <v>0.458333333333333</v>
      </c>
      <c r="G12" s="75">
        <v>0.854166666666667</v>
      </c>
      <c r="H12" s="75"/>
      <c r="I12" s="75"/>
      <c r="J12" s="75"/>
      <c r="K12" s="75"/>
    </row>
    <row r="13" spans="2:11">
      <c r="B13" s="71">
        <v>11</v>
      </c>
      <c r="C13" s="72">
        <v>46266</v>
      </c>
      <c r="D13" s="73" t="s">
        <v>21</v>
      </c>
      <c r="E13" s="74">
        <f t="shared" si="0"/>
        <v>11.25</v>
      </c>
      <c r="F13" s="75">
        <v>0.416666666666667</v>
      </c>
      <c r="G13" s="75">
        <v>0.885416666666667</v>
      </c>
      <c r="H13" s="75"/>
      <c r="I13" s="75"/>
      <c r="J13" s="75"/>
      <c r="K13" s="75"/>
    </row>
    <row r="14" spans="2:11">
      <c r="B14" s="71">
        <v>12</v>
      </c>
      <c r="C14" s="72">
        <v>46266</v>
      </c>
      <c r="D14" s="73" t="s">
        <v>22</v>
      </c>
      <c r="E14" s="74">
        <f t="shared" si="0"/>
        <v>0</v>
      </c>
      <c r="F14" s="75"/>
      <c r="G14" s="75"/>
      <c r="H14" s="75"/>
      <c r="I14" s="75"/>
      <c r="J14" s="75"/>
      <c r="K14" s="75"/>
    </row>
    <row r="15" spans="2:11">
      <c r="B15" s="71">
        <v>13</v>
      </c>
      <c r="C15" s="72">
        <v>46266</v>
      </c>
      <c r="D15" s="73" t="s">
        <v>23</v>
      </c>
      <c r="E15" s="74">
        <f t="shared" si="0"/>
        <v>7</v>
      </c>
      <c r="F15" s="75">
        <v>0.583333333333333</v>
      </c>
      <c r="G15" s="75">
        <v>0.875</v>
      </c>
      <c r="H15" s="75"/>
      <c r="I15" s="75"/>
      <c r="J15" s="75"/>
      <c r="K15" s="75"/>
    </row>
    <row r="16" spans="2:11">
      <c r="B16" s="71">
        <v>1</v>
      </c>
      <c r="C16" s="72">
        <v>46267</v>
      </c>
      <c r="D16" s="73" t="s">
        <v>10</v>
      </c>
      <c r="E16" s="74">
        <f t="shared" si="0"/>
        <v>9</v>
      </c>
      <c r="F16" s="75">
        <v>0.25</v>
      </c>
      <c r="G16" s="75">
        <v>0.625</v>
      </c>
      <c r="H16" s="75"/>
      <c r="I16" s="75"/>
      <c r="J16" s="75"/>
      <c r="K16" s="75"/>
    </row>
    <row r="17" spans="2:11">
      <c r="B17" s="71">
        <v>2</v>
      </c>
      <c r="C17" s="72">
        <v>46267</v>
      </c>
      <c r="D17" s="73" t="s">
        <v>11</v>
      </c>
      <c r="E17" s="74">
        <f t="shared" si="0"/>
        <v>6.5</v>
      </c>
      <c r="F17" s="75">
        <v>0.458333333333333</v>
      </c>
      <c r="G17" s="75">
        <v>0.729166666666667</v>
      </c>
      <c r="H17" s="75"/>
      <c r="I17" s="75"/>
      <c r="J17" s="75"/>
      <c r="K17" s="75"/>
    </row>
    <row r="18" spans="2:11">
      <c r="B18" s="71">
        <v>3</v>
      </c>
      <c r="C18" s="72">
        <v>46267</v>
      </c>
      <c r="D18" s="73" t="s">
        <v>12</v>
      </c>
      <c r="E18" s="74">
        <f t="shared" si="0"/>
        <v>5</v>
      </c>
      <c r="F18" s="75">
        <v>0.3125</v>
      </c>
      <c r="G18" s="75">
        <v>0.520833333333333</v>
      </c>
      <c r="H18" s="75"/>
      <c r="I18" s="75"/>
      <c r="J18" s="75"/>
      <c r="K18" s="75"/>
    </row>
    <row r="19" spans="2:11">
      <c r="B19" s="71">
        <v>4</v>
      </c>
      <c r="C19" s="72">
        <v>46267</v>
      </c>
      <c r="D19" s="73" t="s">
        <v>13</v>
      </c>
      <c r="E19" s="74">
        <f t="shared" si="0"/>
        <v>7.75000000000001</v>
      </c>
      <c r="F19" s="75">
        <v>0.583333333333333</v>
      </c>
      <c r="G19" s="75">
        <v>0.90625</v>
      </c>
      <c r="H19" s="75"/>
      <c r="I19" s="75"/>
      <c r="J19" s="75"/>
      <c r="K19" s="75"/>
    </row>
    <row r="20" spans="2:11">
      <c r="B20" s="71">
        <v>5</v>
      </c>
      <c r="C20" s="72">
        <v>46267</v>
      </c>
      <c r="D20" s="73" t="s">
        <v>14</v>
      </c>
      <c r="E20" s="74">
        <f t="shared" si="0"/>
        <v>11</v>
      </c>
      <c r="F20" s="75">
        <v>0.166666666666667</v>
      </c>
      <c r="G20" s="75">
        <v>0.416666666666667</v>
      </c>
      <c r="H20" s="75">
        <v>0.583333333333333</v>
      </c>
      <c r="I20" s="75">
        <v>0.791666666666667</v>
      </c>
      <c r="J20" s="75"/>
      <c r="K20" s="75"/>
    </row>
    <row r="21" spans="2:11">
      <c r="B21" s="71">
        <v>6</v>
      </c>
      <c r="C21" s="72">
        <v>46267</v>
      </c>
      <c r="D21" s="73" t="s">
        <v>16</v>
      </c>
      <c r="E21" s="74">
        <f t="shared" si="0"/>
        <v>13.6666666666667</v>
      </c>
      <c r="F21" s="75">
        <v>0.416666666666667</v>
      </c>
      <c r="G21" s="75">
        <v>0.986111111111111</v>
      </c>
      <c r="H21" s="75"/>
      <c r="I21" s="75"/>
      <c r="J21" s="75"/>
      <c r="K21" s="75"/>
    </row>
    <row r="22" spans="2:11">
      <c r="B22" s="71">
        <v>7</v>
      </c>
      <c r="C22" s="72">
        <v>46267</v>
      </c>
      <c r="D22" s="73" t="s">
        <v>17</v>
      </c>
      <c r="E22" s="74">
        <f t="shared" si="0"/>
        <v>10.3333333333333</v>
      </c>
      <c r="F22" s="75">
        <v>0.3125</v>
      </c>
      <c r="G22" s="75">
        <v>0.743055555555556</v>
      </c>
      <c r="H22" s="75"/>
      <c r="I22" s="75"/>
      <c r="J22" s="75"/>
      <c r="K22" s="75"/>
    </row>
    <row r="23" spans="2:11">
      <c r="B23" s="71">
        <v>8</v>
      </c>
      <c r="C23" s="72">
        <v>46267</v>
      </c>
      <c r="D23" s="73" t="s">
        <v>18</v>
      </c>
      <c r="E23" s="74">
        <f t="shared" si="0"/>
        <v>7.33333333333334</v>
      </c>
      <c r="F23" s="75">
        <v>0.333333333333333</v>
      </c>
      <c r="G23" s="75">
        <v>0.638888888888889</v>
      </c>
      <c r="H23" s="75"/>
      <c r="I23" s="75"/>
      <c r="J23" s="75"/>
      <c r="K23" s="75"/>
    </row>
    <row r="24" spans="2:11">
      <c r="B24" s="71">
        <v>9</v>
      </c>
      <c r="C24" s="72">
        <v>46267</v>
      </c>
      <c r="D24" s="73" t="s">
        <v>19</v>
      </c>
      <c r="E24" s="74">
        <f t="shared" si="0"/>
        <v>12.3333333333333</v>
      </c>
      <c r="F24" s="75">
        <v>0.458333333333333</v>
      </c>
      <c r="G24" s="75">
        <v>0.972222222222222</v>
      </c>
      <c r="H24" s="75"/>
      <c r="I24" s="75"/>
      <c r="J24" s="75"/>
      <c r="K24" s="75"/>
    </row>
    <row r="25" spans="2:11">
      <c r="B25" s="71">
        <v>10</v>
      </c>
      <c r="C25" s="72">
        <v>46267</v>
      </c>
      <c r="D25" s="73" t="s">
        <v>20</v>
      </c>
      <c r="E25" s="74">
        <f t="shared" si="0"/>
        <v>7</v>
      </c>
      <c r="F25" s="75">
        <v>0.458333333333333</v>
      </c>
      <c r="G25" s="75">
        <v>0.75</v>
      </c>
      <c r="H25" s="75"/>
      <c r="I25" s="75"/>
      <c r="J25" s="75"/>
      <c r="K25" s="75"/>
    </row>
    <row r="26" spans="2:11">
      <c r="B26" s="71">
        <v>11</v>
      </c>
      <c r="C26" s="72">
        <v>46267</v>
      </c>
      <c r="D26" s="73" t="s">
        <v>21</v>
      </c>
      <c r="E26" s="74">
        <f t="shared" si="0"/>
        <v>11.3333333333333</v>
      </c>
      <c r="F26" s="75">
        <v>0.416666666666667</v>
      </c>
      <c r="G26" s="75">
        <v>0.888888888888889</v>
      </c>
      <c r="H26" s="75"/>
      <c r="I26" s="75"/>
      <c r="J26" s="75"/>
      <c r="K26" s="75"/>
    </row>
    <row r="27" spans="2:11">
      <c r="B27" s="71">
        <v>12</v>
      </c>
      <c r="C27" s="72">
        <v>46267</v>
      </c>
      <c r="D27" s="73" t="s">
        <v>22</v>
      </c>
      <c r="E27" s="74">
        <f t="shared" si="0"/>
        <v>7</v>
      </c>
      <c r="F27" s="75">
        <v>0.270833333333333</v>
      </c>
      <c r="G27" s="75">
        <v>0.5625</v>
      </c>
      <c r="H27" s="75"/>
      <c r="I27" s="75"/>
      <c r="J27" s="75"/>
      <c r="K27" s="75"/>
    </row>
    <row r="28" spans="2:11">
      <c r="B28" s="71">
        <v>13</v>
      </c>
      <c r="C28" s="72">
        <v>46267</v>
      </c>
      <c r="D28" s="73" t="s">
        <v>23</v>
      </c>
      <c r="E28" s="74">
        <f t="shared" si="0"/>
        <v>8</v>
      </c>
      <c r="F28" s="75">
        <v>0.583333333333333</v>
      </c>
      <c r="G28" s="75">
        <v>0.916666666666667</v>
      </c>
      <c r="H28" s="75"/>
      <c r="I28" s="75"/>
      <c r="J28" s="75"/>
      <c r="K28" s="75"/>
    </row>
    <row r="29" spans="2:11">
      <c r="B29" s="71">
        <v>1</v>
      </c>
      <c r="C29" s="72">
        <v>46268</v>
      </c>
      <c r="D29" s="73" t="s">
        <v>10</v>
      </c>
      <c r="E29" s="74">
        <f t="shared" si="0"/>
        <v>11</v>
      </c>
      <c r="F29" s="75">
        <v>0.25</v>
      </c>
      <c r="G29" s="75">
        <v>0.708333333333333</v>
      </c>
      <c r="H29" s="75"/>
      <c r="I29" s="75"/>
      <c r="J29" s="75"/>
      <c r="K29" s="75"/>
    </row>
    <row r="30" spans="2:11">
      <c r="B30" s="71">
        <v>2</v>
      </c>
      <c r="C30" s="72">
        <v>46268</v>
      </c>
      <c r="D30" s="73" t="s">
        <v>11</v>
      </c>
      <c r="E30" s="74">
        <f t="shared" si="0"/>
        <v>8</v>
      </c>
      <c r="F30" s="75">
        <v>0.416666666666667</v>
      </c>
      <c r="G30" s="75">
        <v>0.75</v>
      </c>
      <c r="H30" s="75"/>
      <c r="I30" s="75"/>
      <c r="J30" s="75"/>
      <c r="K30" s="75"/>
    </row>
    <row r="31" spans="2:11">
      <c r="B31" s="71">
        <v>3</v>
      </c>
      <c r="C31" s="72">
        <v>46268</v>
      </c>
      <c r="D31" s="73" t="s">
        <v>12</v>
      </c>
      <c r="E31" s="74">
        <f t="shared" si="0"/>
        <v>8</v>
      </c>
      <c r="F31" s="75">
        <v>0.291666666666667</v>
      </c>
      <c r="G31" s="75">
        <v>0.625</v>
      </c>
      <c r="H31" s="75"/>
      <c r="I31" s="75"/>
      <c r="J31" s="75"/>
      <c r="K31" s="75"/>
    </row>
    <row r="32" spans="2:11">
      <c r="B32" s="71">
        <v>4</v>
      </c>
      <c r="C32" s="72">
        <v>46268</v>
      </c>
      <c r="D32" s="73" t="s">
        <v>13</v>
      </c>
      <c r="E32" s="74">
        <f t="shared" si="0"/>
        <v>7.25000000000001</v>
      </c>
      <c r="F32" s="75">
        <v>0.583333333333333</v>
      </c>
      <c r="G32" s="75">
        <v>0.885416666666667</v>
      </c>
      <c r="H32" s="75"/>
      <c r="I32" s="75"/>
      <c r="J32" s="75"/>
      <c r="K32" s="75"/>
    </row>
    <row r="33" spans="2:11">
      <c r="B33" s="71">
        <v>5</v>
      </c>
      <c r="C33" s="72">
        <v>46268</v>
      </c>
      <c r="D33" s="73" t="s">
        <v>14</v>
      </c>
      <c r="E33" s="74">
        <f t="shared" si="0"/>
        <v>11.5</v>
      </c>
      <c r="F33" s="75">
        <v>0.166666666666667</v>
      </c>
      <c r="G33" s="75">
        <v>0.416666666666667</v>
      </c>
      <c r="H33" s="75">
        <v>0.583333333333333</v>
      </c>
      <c r="I33" s="75">
        <v>0.8125</v>
      </c>
      <c r="J33" s="75"/>
      <c r="K33" s="75"/>
    </row>
    <row r="34" spans="2:11">
      <c r="B34" s="71">
        <v>6</v>
      </c>
      <c r="C34" s="72">
        <v>46268</v>
      </c>
      <c r="D34" s="73" t="s">
        <v>16</v>
      </c>
      <c r="E34" s="74">
        <f t="shared" si="0"/>
        <v>12.5</v>
      </c>
      <c r="F34" s="75">
        <v>0.416666666666667</v>
      </c>
      <c r="G34" s="75">
        <v>0.9375</v>
      </c>
      <c r="H34" s="75"/>
      <c r="I34" s="75"/>
      <c r="J34" s="75"/>
      <c r="K34" s="75"/>
    </row>
    <row r="35" spans="2:11">
      <c r="B35" s="71">
        <v>7</v>
      </c>
      <c r="C35" s="72">
        <v>46268</v>
      </c>
      <c r="D35" s="73" t="s">
        <v>17</v>
      </c>
      <c r="E35" s="74">
        <f t="shared" ref="E35:E66" si="1">IF(F35="OFF",0,((G35-F35)+(I35-H35)+(K35-J35))*24)</f>
        <v>10.5</v>
      </c>
      <c r="F35" s="75">
        <v>0.3125</v>
      </c>
      <c r="G35" s="75">
        <v>0.75</v>
      </c>
      <c r="H35" s="75"/>
      <c r="I35" s="75"/>
      <c r="J35" s="75"/>
      <c r="K35" s="75"/>
    </row>
    <row r="36" spans="2:11">
      <c r="B36" s="71">
        <v>8</v>
      </c>
      <c r="C36" s="72">
        <v>46268</v>
      </c>
      <c r="D36" s="73" t="s">
        <v>18</v>
      </c>
      <c r="E36" s="74">
        <f t="shared" si="1"/>
        <v>10</v>
      </c>
      <c r="F36" s="75">
        <v>0.333333333333333</v>
      </c>
      <c r="G36" s="75">
        <v>0.75</v>
      </c>
      <c r="H36" s="75"/>
      <c r="I36" s="75"/>
      <c r="J36" s="75"/>
      <c r="K36" s="75"/>
    </row>
    <row r="37" spans="2:11">
      <c r="B37" s="71">
        <v>9</v>
      </c>
      <c r="C37" s="72">
        <v>46268</v>
      </c>
      <c r="D37" s="73" t="s">
        <v>19</v>
      </c>
      <c r="E37" s="74">
        <f t="shared" si="1"/>
        <v>8.5</v>
      </c>
      <c r="F37" s="75">
        <v>0.583333333333333</v>
      </c>
      <c r="G37" s="75">
        <v>0.9375</v>
      </c>
      <c r="H37" s="75"/>
      <c r="I37" s="75"/>
      <c r="J37" s="75"/>
      <c r="K37" s="75"/>
    </row>
    <row r="38" spans="2:11">
      <c r="B38" s="71">
        <v>10</v>
      </c>
      <c r="C38" s="72">
        <v>46268</v>
      </c>
      <c r="D38" s="73" t="s">
        <v>20</v>
      </c>
      <c r="E38" s="74">
        <f t="shared" si="1"/>
        <v>10</v>
      </c>
      <c r="F38" s="75">
        <v>0.458333333333333</v>
      </c>
      <c r="G38" s="75">
        <v>0.875</v>
      </c>
      <c r="H38" s="75"/>
      <c r="I38" s="75"/>
      <c r="J38" s="75"/>
      <c r="K38" s="75"/>
    </row>
    <row r="39" spans="2:11">
      <c r="B39" s="71">
        <v>11</v>
      </c>
      <c r="C39" s="72">
        <v>46268</v>
      </c>
      <c r="D39" s="73" t="s">
        <v>21</v>
      </c>
      <c r="E39" s="74">
        <f t="shared" si="1"/>
        <v>11</v>
      </c>
      <c r="F39" s="75">
        <v>0.416666666666667</v>
      </c>
      <c r="G39" s="75">
        <v>0.875</v>
      </c>
      <c r="H39" s="75"/>
      <c r="I39" s="75"/>
      <c r="J39" s="75"/>
      <c r="K39" s="75"/>
    </row>
    <row r="40" spans="2:11">
      <c r="B40" s="71">
        <v>12</v>
      </c>
      <c r="C40" s="72">
        <v>46268</v>
      </c>
      <c r="D40" s="73" t="s">
        <v>22</v>
      </c>
      <c r="E40" s="74">
        <f t="shared" si="1"/>
        <v>0</v>
      </c>
      <c r="F40" s="75"/>
      <c r="G40" s="75"/>
      <c r="H40" s="75"/>
      <c r="I40" s="75"/>
      <c r="J40" s="75"/>
      <c r="K40" s="75"/>
    </row>
    <row r="41" spans="2:11">
      <c r="B41" s="71">
        <v>13</v>
      </c>
      <c r="C41" s="72">
        <v>46268</v>
      </c>
      <c r="D41" s="73" t="s">
        <v>23</v>
      </c>
      <c r="E41" s="74">
        <f t="shared" si="1"/>
        <v>6.5</v>
      </c>
      <c r="F41" s="75">
        <v>0.583333333333333</v>
      </c>
      <c r="G41" s="75">
        <v>0.854166666666667</v>
      </c>
      <c r="H41" s="75"/>
      <c r="I41" s="75"/>
      <c r="J41" s="75"/>
      <c r="K41" s="75"/>
    </row>
    <row r="42" spans="2:11">
      <c r="B42" s="71">
        <v>1</v>
      </c>
      <c r="C42" s="72">
        <v>46269</v>
      </c>
      <c r="D42" s="73" t="s">
        <v>10</v>
      </c>
      <c r="E42" s="74">
        <f t="shared" si="1"/>
        <v>12</v>
      </c>
      <c r="F42" s="75">
        <v>0.25</v>
      </c>
      <c r="G42" s="75">
        <v>0.75</v>
      </c>
      <c r="H42" s="75"/>
      <c r="I42" s="75"/>
      <c r="J42" s="75"/>
      <c r="K42" s="75"/>
    </row>
    <row r="43" spans="2:11">
      <c r="B43" s="71">
        <v>2</v>
      </c>
      <c r="C43" s="72">
        <v>46269</v>
      </c>
      <c r="D43" s="73" t="s">
        <v>11</v>
      </c>
      <c r="E43" s="74">
        <f t="shared" si="1"/>
        <v>7</v>
      </c>
      <c r="F43" s="75">
        <v>0.458333333333333</v>
      </c>
      <c r="G43" s="75">
        <v>0.75</v>
      </c>
      <c r="H43" s="75"/>
      <c r="I43" s="75"/>
      <c r="J43" s="75"/>
      <c r="K43" s="75"/>
    </row>
    <row r="44" spans="2:11">
      <c r="B44" s="71">
        <v>3</v>
      </c>
      <c r="C44" s="72">
        <v>46269</v>
      </c>
      <c r="D44" s="73" t="s">
        <v>12</v>
      </c>
      <c r="E44" s="74">
        <f t="shared" si="1"/>
        <v>8</v>
      </c>
      <c r="F44" s="75">
        <v>0.3125</v>
      </c>
      <c r="G44" s="75">
        <v>0.645833333333333</v>
      </c>
      <c r="H44" s="75"/>
      <c r="I44" s="75"/>
      <c r="J44" s="75"/>
      <c r="K44" s="75"/>
    </row>
    <row r="45" spans="2:11">
      <c r="B45" s="71">
        <v>4</v>
      </c>
      <c r="C45" s="72">
        <v>46269</v>
      </c>
      <c r="D45" s="73" t="s">
        <v>13</v>
      </c>
      <c r="E45" s="74">
        <f t="shared" si="1"/>
        <v>7.33333333333334</v>
      </c>
      <c r="F45" s="75">
        <v>0.583333333333333</v>
      </c>
      <c r="G45" s="75">
        <v>0.888888888888889</v>
      </c>
      <c r="H45" s="75"/>
      <c r="I45" s="75"/>
      <c r="J45" s="75"/>
      <c r="K45" s="75"/>
    </row>
    <row r="46" spans="2:11">
      <c r="B46" s="71">
        <v>5</v>
      </c>
      <c r="C46" s="72">
        <v>46269</v>
      </c>
      <c r="D46" s="73" t="s">
        <v>14</v>
      </c>
      <c r="E46" s="74">
        <f t="shared" si="1"/>
        <v>13</v>
      </c>
      <c r="F46" s="75">
        <v>0.166666666666667</v>
      </c>
      <c r="G46" s="75">
        <v>0.4375</v>
      </c>
      <c r="H46" s="75">
        <v>0.583333333333333</v>
      </c>
      <c r="I46" s="75">
        <v>0.854166666666667</v>
      </c>
      <c r="J46" s="75"/>
      <c r="K46" s="75"/>
    </row>
    <row r="47" spans="2:11">
      <c r="B47" s="71">
        <v>6</v>
      </c>
      <c r="C47" s="72">
        <v>46269</v>
      </c>
      <c r="D47" s="73" t="s">
        <v>16</v>
      </c>
      <c r="E47" s="74">
        <f t="shared" si="1"/>
        <v>12.5833333333333</v>
      </c>
      <c r="F47" s="75">
        <v>0.420138888888889</v>
      </c>
      <c r="G47" s="75">
        <v>0.944444444444444</v>
      </c>
      <c r="H47" s="75"/>
      <c r="I47" s="75"/>
      <c r="J47" s="75"/>
      <c r="K47" s="75"/>
    </row>
    <row r="48" spans="2:11">
      <c r="B48" s="71">
        <v>7</v>
      </c>
      <c r="C48" s="72">
        <v>46269</v>
      </c>
      <c r="D48" s="73" t="s">
        <v>17</v>
      </c>
      <c r="E48" s="74">
        <f t="shared" si="1"/>
        <v>10.5</v>
      </c>
      <c r="F48" s="75">
        <v>0.3125</v>
      </c>
      <c r="G48" s="75">
        <v>0.75</v>
      </c>
      <c r="H48" s="75"/>
      <c r="I48" s="75"/>
      <c r="J48" s="75"/>
      <c r="K48" s="75"/>
    </row>
    <row r="49" spans="2:11">
      <c r="B49" s="71">
        <v>8</v>
      </c>
      <c r="C49" s="72">
        <v>46269</v>
      </c>
      <c r="D49" s="73" t="s">
        <v>18</v>
      </c>
      <c r="E49" s="74">
        <f t="shared" si="1"/>
        <v>12</v>
      </c>
      <c r="F49" s="75">
        <v>0.333333333333333</v>
      </c>
      <c r="G49" s="75">
        <v>0.833333333333333</v>
      </c>
      <c r="H49" s="75"/>
      <c r="I49" s="75"/>
      <c r="J49" s="75"/>
      <c r="K49" s="75"/>
    </row>
    <row r="50" spans="2:11">
      <c r="B50" s="71">
        <v>9</v>
      </c>
      <c r="C50" s="72">
        <v>46269</v>
      </c>
      <c r="D50" s="73" t="s">
        <v>19</v>
      </c>
      <c r="E50" s="74">
        <f t="shared" si="1"/>
        <v>11.6666666666667</v>
      </c>
      <c r="F50" s="75">
        <v>0.458333333333333</v>
      </c>
      <c r="G50" s="75">
        <v>0.944444444444444</v>
      </c>
      <c r="H50" s="75"/>
      <c r="I50" s="75"/>
      <c r="J50" s="75"/>
      <c r="K50" s="75"/>
    </row>
    <row r="51" spans="2:11">
      <c r="B51" s="71">
        <v>10</v>
      </c>
      <c r="C51" s="72">
        <v>46269</v>
      </c>
      <c r="D51" s="73" t="s">
        <v>20</v>
      </c>
      <c r="E51" s="74">
        <f t="shared" si="1"/>
        <v>10</v>
      </c>
      <c r="F51" s="75">
        <v>0.375</v>
      </c>
      <c r="G51" s="75">
        <v>0.791666666666667</v>
      </c>
      <c r="H51" s="75"/>
      <c r="I51" s="75"/>
      <c r="J51" s="75"/>
      <c r="K51" s="75"/>
    </row>
    <row r="52" spans="2:11">
      <c r="B52" s="71">
        <v>11</v>
      </c>
      <c r="C52" s="72">
        <v>46269</v>
      </c>
      <c r="D52" s="73" t="s">
        <v>21</v>
      </c>
      <c r="E52" s="74">
        <f t="shared" si="1"/>
        <v>11</v>
      </c>
      <c r="F52" s="75">
        <v>0.416666666666667</v>
      </c>
      <c r="G52" s="75">
        <v>0.875</v>
      </c>
      <c r="H52" s="75"/>
      <c r="I52" s="75"/>
      <c r="J52" s="75"/>
      <c r="K52" s="75"/>
    </row>
    <row r="53" spans="2:11">
      <c r="B53" s="71">
        <v>12</v>
      </c>
      <c r="C53" s="72">
        <v>46269</v>
      </c>
      <c r="D53" s="73" t="s">
        <v>22</v>
      </c>
      <c r="E53" s="74">
        <f t="shared" si="1"/>
        <v>7</v>
      </c>
      <c r="F53" s="75">
        <v>0.270833333333333</v>
      </c>
      <c r="G53" s="75">
        <v>0.5625</v>
      </c>
      <c r="H53" s="75"/>
      <c r="I53" s="75"/>
      <c r="J53" s="75"/>
      <c r="K53" s="75"/>
    </row>
    <row r="54" spans="2:11">
      <c r="B54" s="71">
        <v>13</v>
      </c>
      <c r="C54" s="72">
        <v>46269</v>
      </c>
      <c r="D54" s="73" t="s">
        <v>23</v>
      </c>
      <c r="E54" s="74">
        <f t="shared" si="1"/>
        <v>7</v>
      </c>
      <c r="F54" s="75">
        <v>0.583333333333333</v>
      </c>
      <c r="G54" s="75">
        <v>0.875</v>
      </c>
      <c r="H54" s="75"/>
      <c r="I54" s="75"/>
      <c r="J54" s="75"/>
      <c r="K54" s="75"/>
    </row>
    <row r="55" spans="2:11">
      <c r="B55" s="71">
        <v>1</v>
      </c>
      <c r="C55" s="72">
        <v>46270</v>
      </c>
      <c r="D55" s="73" t="s">
        <v>10</v>
      </c>
      <c r="E55" s="74">
        <f t="shared" si="1"/>
        <v>12</v>
      </c>
      <c r="F55" s="75">
        <v>0.25</v>
      </c>
      <c r="G55" s="75">
        <v>0.75</v>
      </c>
      <c r="H55" s="75"/>
      <c r="I55" s="75"/>
      <c r="J55" s="75"/>
      <c r="K55" s="75"/>
    </row>
    <row r="56" spans="2:11">
      <c r="B56" s="71">
        <v>2</v>
      </c>
      <c r="C56" s="72">
        <v>46270</v>
      </c>
      <c r="D56" s="73" t="s">
        <v>11</v>
      </c>
      <c r="E56" s="74">
        <f t="shared" si="1"/>
        <v>8</v>
      </c>
      <c r="F56" s="75">
        <v>0.291666666666667</v>
      </c>
      <c r="G56" s="75">
        <v>0.625</v>
      </c>
      <c r="H56" s="75"/>
      <c r="I56" s="75"/>
      <c r="J56" s="75"/>
      <c r="K56" s="75"/>
    </row>
    <row r="57" spans="2:11">
      <c r="B57" s="71">
        <v>3</v>
      </c>
      <c r="C57" s="72">
        <v>46270</v>
      </c>
      <c r="D57" s="73" t="s">
        <v>12</v>
      </c>
      <c r="E57" s="74">
        <f t="shared" si="1"/>
        <v>0</v>
      </c>
      <c r="F57" s="75" t="s">
        <v>15</v>
      </c>
      <c r="G57" s="75"/>
      <c r="H57" s="75"/>
      <c r="I57" s="75"/>
      <c r="J57" s="75"/>
      <c r="K57" s="75"/>
    </row>
    <row r="58" spans="2:11">
      <c r="B58" s="71">
        <v>4</v>
      </c>
      <c r="C58" s="72">
        <v>46270</v>
      </c>
      <c r="D58" s="73" t="s">
        <v>13</v>
      </c>
      <c r="E58" s="74">
        <f t="shared" si="1"/>
        <v>7.00000000000001</v>
      </c>
      <c r="F58" s="75">
        <v>0.583333333333333</v>
      </c>
      <c r="G58" s="75">
        <v>0.875</v>
      </c>
      <c r="H58" s="75"/>
      <c r="I58" s="75"/>
      <c r="J58" s="75"/>
      <c r="K58" s="75"/>
    </row>
    <row r="59" spans="2:11">
      <c r="B59" s="71">
        <v>5</v>
      </c>
      <c r="C59" s="72">
        <v>46270</v>
      </c>
      <c r="D59" s="73" t="s">
        <v>14</v>
      </c>
      <c r="E59" s="74">
        <f t="shared" si="1"/>
        <v>13.5</v>
      </c>
      <c r="F59" s="75">
        <v>0.166666666666667</v>
      </c>
      <c r="G59" s="75">
        <v>0.4375</v>
      </c>
      <c r="H59" s="75">
        <v>0.583333333333333</v>
      </c>
      <c r="I59" s="75">
        <v>0.875</v>
      </c>
      <c r="J59" s="75"/>
      <c r="K59" s="75"/>
    </row>
    <row r="60" spans="2:11">
      <c r="B60" s="71">
        <v>6</v>
      </c>
      <c r="C60" s="72">
        <v>46270</v>
      </c>
      <c r="D60" s="73" t="s">
        <v>16</v>
      </c>
      <c r="E60" s="74">
        <f t="shared" si="1"/>
        <v>12.6666666666667</v>
      </c>
      <c r="F60" s="75">
        <v>0.416666666666667</v>
      </c>
      <c r="G60" s="75">
        <v>0.944444444444444</v>
      </c>
      <c r="H60" s="75"/>
      <c r="I60" s="75"/>
      <c r="J60" s="75"/>
      <c r="K60" s="75"/>
    </row>
    <row r="61" spans="2:11">
      <c r="B61" s="71">
        <v>7</v>
      </c>
      <c r="C61" s="72">
        <v>46270</v>
      </c>
      <c r="D61" s="73" t="s">
        <v>17</v>
      </c>
      <c r="E61" s="74">
        <f t="shared" si="1"/>
        <v>11.5</v>
      </c>
      <c r="F61" s="75">
        <v>0.3125</v>
      </c>
      <c r="G61" s="75">
        <v>0.791666666666667</v>
      </c>
      <c r="H61" s="75"/>
      <c r="I61" s="75"/>
      <c r="J61" s="75"/>
      <c r="K61" s="75"/>
    </row>
    <row r="62" spans="2:11">
      <c r="B62" s="71">
        <v>8</v>
      </c>
      <c r="C62" s="72">
        <v>46270</v>
      </c>
      <c r="D62" s="73" t="s">
        <v>18</v>
      </c>
      <c r="E62" s="74">
        <f t="shared" si="1"/>
        <v>13.5</v>
      </c>
      <c r="F62" s="75">
        <v>0.333333333333333</v>
      </c>
      <c r="G62" s="75">
        <v>0.895833333333333</v>
      </c>
      <c r="H62" s="75"/>
      <c r="I62" s="75"/>
      <c r="J62" s="75"/>
      <c r="K62" s="75"/>
    </row>
    <row r="63" spans="2:11">
      <c r="B63" s="71">
        <v>9</v>
      </c>
      <c r="C63" s="72">
        <v>46270</v>
      </c>
      <c r="D63" s="73" t="s">
        <v>19</v>
      </c>
      <c r="E63" s="74">
        <f t="shared" si="1"/>
        <v>0</v>
      </c>
      <c r="F63" s="75" t="s">
        <v>15</v>
      </c>
      <c r="G63" s="75"/>
      <c r="H63" s="75"/>
      <c r="I63" s="75"/>
      <c r="J63" s="75"/>
      <c r="K63" s="75"/>
    </row>
    <row r="64" spans="2:11">
      <c r="B64" s="71">
        <v>10</v>
      </c>
      <c r="C64" s="72">
        <v>46270</v>
      </c>
      <c r="D64" s="73" t="s">
        <v>20</v>
      </c>
      <c r="E64" s="74">
        <f t="shared" si="1"/>
        <v>9</v>
      </c>
      <c r="F64" s="75">
        <v>0.375</v>
      </c>
      <c r="G64" s="75">
        <v>0.75</v>
      </c>
      <c r="H64" s="75"/>
      <c r="I64" s="75"/>
      <c r="J64" s="75"/>
      <c r="K64" s="75"/>
    </row>
    <row r="65" spans="2:11">
      <c r="B65" s="71">
        <v>11</v>
      </c>
      <c r="C65" s="72">
        <v>46270</v>
      </c>
      <c r="D65" s="73" t="s">
        <v>21</v>
      </c>
      <c r="E65" s="74">
        <f t="shared" si="1"/>
        <v>12.75</v>
      </c>
      <c r="F65" s="75">
        <v>0.416666666666667</v>
      </c>
      <c r="G65" s="75">
        <v>0.947916666666667</v>
      </c>
      <c r="H65" s="75"/>
      <c r="I65" s="75"/>
      <c r="J65" s="75"/>
      <c r="K65" s="75"/>
    </row>
    <row r="66" spans="2:11">
      <c r="B66" s="71">
        <v>12</v>
      </c>
      <c r="C66" s="72">
        <v>46270</v>
      </c>
      <c r="D66" s="73" t="s">
        <v>22</v>
      </c>
      <c r="E66" s="74">
        <f t="shared" si="1"/>
        <v>0</v>
      </c>
      <c r="F66" s="75"/>
      <c r="G66" s="75"/>
      <c r="H66" s="75"/>
      <c r="I66" s="75"/>
      <c r="J66" s="75"/>
      <c r="K66" s="75"/>
    </row>
    <row r="67" spans="2:11">
      <c r="B67" s="71">
        <v>13</v>
      </c>
      <c r="C67" s="72">
        <v>46270</v>
      </c>
      <c r="D67" s="73" t="s">
        <v>23</v>
      </c>
      <c r="E67" s="74">
        <f t="shared" ref="E67:E93" si="2">IF(F67="OFF",0,((G67-F67)+(I67-H67)+(K67-J67))*24)</f>
        <v>8.5</v>
      </c>
      <c r="F67" s="75">
        <v>0.583333333333333</v>
      </c>
      <c r="G67" s="75">
        <v>0.9375</v>
      </c>
      <c r="H67" s="75"/>
      <c r="I67" s="75"/>
      <c r="J67" s="75"/>
      <c r="K67" s="75"/>
    </row>
    <row r="68" spans="2:11">
      <c r="B68" s="71">
        <v>1</v>
      </c>
      <c r="C68" s="72">
        <v>46271</v>
      </c>
      <c r="D68" s="73" t="s">
        <v>10</v>
      </c>
      <c r="E68" s="74">
        <f t="shared" si="2"/>
        <v>10.5</v>
      </c>
      <c r="F68" s="75">
        <v>0.25</v>
      </c>
      <c r="G68" s="75">
        <v>0.6875</v>
      </c>
      <c r="H68" s="75"/>
      <c r="I68" s="75"/>
      <c r="J68" s="75"/>
      <c r="K68" s="75"/>
    </row>
    <row r="69" spans="2:11">
      <c r="B69" s="71">
        <v>2</v>
      </c>
      <c r="C69" s="72">
        <v>46271</v>
      </c>
      <c r="D69" s="73" t="s">
        <v>11</v>
      </c>
      <c r="E69" s="74">
        <f t="shared" si="2"/>
        <v>0</v>
      </c>
      <c r="F69" s="75" t="s">
        <v>15</v>
      </c>
      <c r="G69" s="75"/>
      <c r="H69" s="75"/>
      <c r="I69" s="75"/>
      <c r="J69" s="75"/>
      <c r="K69" s="75"/>
    </row>
    <row r="70" spans="2:11">
      <c r="B70" s="71">
        <v>3</v>
      </c>
      <c r="C70" s="72">
        <v>46271</v>
      </c>
      <c r="D70" s="73" t="s">
        <v>12</v>
      </c>
      <c r="E70" s="74">
        <f t="shared" si="2"/>
        <v>8</v>
      </c>
      <c r="F70" s="75">
        <v>0.291666666666667</v>
      </c>
      <c r="G70" s="75">
        <v>0.625</v>
      </c>
      <c r="H70" s="75"/>
      <c r="I70" s="75"/>
      <c r="J70" s="75"/>
      <c r="K70" s="75"/>
    </row>
    <row r="71" spans="2:11">
      <c r="B71" s="71">
        <v>4</v>
      </c>
      <c r="C71" s="72">
        <v>46271</v>
      </c>
      <c r="D71" s="73" t="s">
        <v>13</v>
      </c>
      <c r="E71" s="74">
        <f t="shared" si="2"/>
        <v>7.33333333333334</v>
      </c>
      <c r="F71" s="75">
        <v>0.583333333333333</v>
      </c>
      <c r="G71" s="75">
        <v>0.888888888888889</v>
      </c>
      <c r="H71" s="75"/>
      <c r="I71" s="75"/>
      <c r="J71" s="75"/>
      <c r="K71" s="75"/>
    </row>
    <row r="72" spans="2:11">
      <c r="B72" s="71">
        <v>5</v>
      </c>
      <c r="C72" s="72">
        <v>46271</v>
      </c>
      <c r="D72" s="73" t="s">
        <v>14</v>
      </c>
      <c r="E72" s="74">
        <f t="shared" si="2"/>
        <v>9.5</v>
      </c>
      <c r="F72" s="75">
        <v>0.166666666666667</v>
      </c>
      <c r="G72" s="75">
        <v>0.375</v>
      </c>
      <c r="H72" s="75">
        <v>0.6875</v>
      </c>
      <c r="I72" s="75">
        <v>0.875</v>
      </c>
      <c r="J72" s="75"/>
      <c r="K72" s="75"/>
    </row>
    <row r="73" spans="2:11">
      <c r="B73" s="71">
        <v>6</v>
      </c>
      <c r="C73" s="72">
        <v>46271</v>
      </c>
      <c r="D73" s="73" t="s">
        <v>16</v>
      </c>
      <c r="E73" s="74">
        <f t="shared" si="2"/>
        <v>8</v>
      </c>
      <c r="F73" s="75">
        <v>0.375</v>
      </c>
      <c r="G73" s="75">
        <v>0.708333333333333</v>
      </c>
      <c r="H73" s="75"/>
      <c r="I73" s="75"/>
      <c r="J73" s="75"/>
      <c r="K73" s="75"/>
    </row>
    <row r="74" spans="2:11">
      <c r="B74" s="71">
        <v>7</v>
      </c>
      <c r="C74" s="72">
        <v>46271</v>
      </c>
      <c r="D74" s="73" t="s">
        <v>17</v>
      </c>
      <c r="E74" s="74">
        <f t="shared" si="2"/>
        <v>9.83333333333333</v>
      </c>
      <c r="F74" s="75">
        <v>0.3125</v>
      </c>
      <c r="G74" s="75">
        <v>0.722222222222222</v>
      </c>
      <c r="H74" s="75"/>
      <c r="I74" s="75"/>
      <c r="J74" s="75"/>
      <c r="K74" s="75"/>
    </row>
    <row r="75" spans="2:11">
      <c r="B75" s="71">
        <v>8</v>
      </c>
      <c r="C75" s="72">
        <v>46271</v>
      </c>
      <c r="D75" s="73" t="s">
        <v>18</v>
      </c>
      <c r="E75" s="74">
        <f t="shared" si="2"/>
        <v>7.50000000000001</v>
      </c>
      <c r="F75" s="75">
        <v>0.333333333333333</v>
      </c>
      <c r="G75" s="75">
        <v>0.645833333333333</v>
      </c>
      <c r="H75" s="75"/>
      <c r="I75" s="75"/>
      <c r="J75" s="75"/>
      <c r="K75" s="75"/>
    </row>
    <row r="76" spans="2:11">
      <c r="B76" s="71">
        <v>9</v>
      </c>
      <c r="C76" s="72">
        <v>46271</v>
      </c>
      <c r="D76" s="73" t="s">
        <v>19</v>
      </c>
      <c r="E76" s="74">
        <f t="shared" si="2"/>
        <v>0</v>
      </c>
      <c r="F76" s="75" t="s">
        <v>15</v>
      </c>
      <c r="G76" s="75"/>
      <c r="H76" s="75"/>
      <c r="I76" s="75"/>
      <c r="J76" s="75"/>
      <c r="K76" s="75"/>
    </row>
    <row r="77" spans="2:11">
      <c r="B77" s="71">
        <v>10</v>
      </c>
      <c r="C77" s="72">
        <v>46271</v>
      </c>
      <c r="D77" s="73" t="s">
        <v>20</v>
      </c>
      <c r="E77" s="74">
        <f t="shared" si="2"/>
        <v>10.5</v>
      </c>
      <c r="F77" s="75">
        <v>0.5</v>
      </c>
      <c r="G77" s="75">
        <v>0.9375</v>
      </c>
      <c r="H77" s="75"/>
      <c r="I77" s="75"/>
      <c r="J77" s="75"/>
      <c r="K77" s="75"/>
    </row>
    <row r="78" spans="2:11">
      <c r="B78" s="71">
        <v>11</v>
      </c>
      <c r="C78" s="72">
        <v>46271</v>
      </c>
      <c r="D78" s="73" t="s">
        <v>21</v>
      </c>
      <c r="E78" s="74">
        <f t="shared" si="2"/>
        <v>12.25</v>
      </c>
      <c r="F78" s="75">
        <v>0.427083333333333</v>
      </c>
      <c r="G78" s="75">
        <v>0.9375</v>
      </c>
      <c r="H78" s="75"/>
      <c r="I78" s="75"/>
      <c r="J78" s="75"/>
      <c r="K78" s="75"/>
    </row>
    <row r="79" spans="2:11">
      <c r="B79" s="71">
        <v>12</v>
      </c>
      <c r="C79" s="72">
        <v>46271</v>
      </c>
      <c r="D79" s="73" t="s">
        <v>22</v>
      </c>
      <c r="E79" s="74">
        <f t="shared" si="2"/>
        <v>0</v>
      </c>
      <c r="F79" s="75"/>
      <c r="G79" s="75"/>
      <c r="H79" s="75"/>
      <c r="I79" s="75"/>
      <c r="J79" s="75"/>
      <c r="K79" s="75"/>
    </row>
    <row r="80" spans="2:11">
      <c r="B80" s="71">
        <v>13</v>
      </c>
      <c r="C80" s="72">
        <v>46271</v>
      </c>
      <c r="D80" s="73" t="s">
        <v>23</v>
      </c>
      <c r="E80" s="74">
        <f t="shared" si="2"/>
        <v>8.5</v>
      </c>
      <c r="F80" s="75">
        <v>0.583333333333333</v>
      </c>
      <c r="G80" s="75">
        <v>0.9375</v>
      </c>
      <c r="H80" s="75"/>
      <c r="I80" s="75"/>
      <c r="J80" s="75"/>
      <c r="K80" s="75"/>
    </row>
  </sheetData>
  <conditionalFormatting sqref="C3:C80">
    <cfRule type="containsText" dxfId="72" priority="1672" operator="between" text="OFF">
      <formula>NOT(ISERROR(SEARCH("OFF",C3)))</formula>
    </cfRule>
  </conditionalFormatting>
  <conditionalFormatting sqref="C16:C28">
    <cfRule type="containsText" dxfId="72" priority="21" operator="between" text="OFF">
      <formula>NOT(ISERROR(SEARCH("OFF",C16)))</formula>
    </cfRule>
  </conditionalFormatting>
  <conditionalFormatting sqref="C29:C41">
    <cfRule type="containsText" dxfId="72" priority="20" operator="between" text="OFF">
      <formula>NOT(ISERROR(SEARCH("OFF",C29)))</formula>
    </cfRule>
    <cfRule type="containsText" dxfId="72" priority="19" operator="between" text="OFF">
      <formula>NOT(ISERROR(SEARCH("OFF",C29)))</formula>
    </cfRule>
  </conditionalFormatting>
  <conditionalFormatting sqref="C42:C54">
    <cfRule type="containsText" dxfId="72" priority="18" operator="between" text="OFF">
      <formula>NOT(ISERROR(SEARCH("OFF",C42)))</formula>
    </cfRule>
    <cfRule type="containsText" dxfId="72" priority="17" operator="between" text="OFF">
      <formula>NOT(ISERROR(SEARCH("OFF",C42)))</formula>
    </cfRule>
    <cfRule type="containsText" dxfId="72" priority="16" operator="between" text="OFF">
      <formula>NOT(ISERROR(SEARCH("OFF",C42)))</formula>
    </cfRule>
  </conditionalFormatting>
  <conditionalFormatting sqref="C55:C67">
    <cfRule type="containsText" dxfId="72" priority="15" operator="between" text="OFF">
      <formula>NOT(ISERROR(SEARCH("OFF",C55)))</formula>
    </cfRule>
    <cfRule type="containsText" dxfId="72" priority="14" operator="between" text="OFF">
      <formula>NOT(ISERROR(SEARCH("OFF",C55)))</formula>
    </cfRule>
    <cfRule type="containsText" dxfId="72" priority="13" operator="between" text="OFF">
      <formula>NOT(ISERROR(SEARCH("OFF",C55)))</formula>
    </cfRule>
    <cfRule type="containsText" dxfId="72" priority="12" operator="between" text="OFF">
      <formula>NOT(ISERROR(SEARCH("OFF",C55)))</formula>
    </cfRule>
  </conditionalFormatting>
  <conditionalFormatting sqref="C68:C80">
    <cfRule type="containsText" dxfId="72" priority="11" operator="between" text="OFF">
      <formula>NOT(ISERROR(SEARCH("OFF",C68)))</formula>
    </cfRule>
    <cfRule type="containsText" dxfId="72" priority="10" operator="between" text="OFF">
      <formula>NOT(ISERROR(SEARCH("OFF",C68)))</formula>
    </cfRule>
    <cfRule type="containsText" dxfId="72" priority="9" operator="between" text="OFF">
      <formula>NOT(ISERROR(SEARCH("OFF",C68)))</formula>
    </cfRule>
    <cfRule type="containsText" dxfId="72" priority="8" operator="between" text="OFF">
      <formula>NOT(ISERROR(SEARCH("OFF",C68)))</formula>
    </cfRule>
    <cfRule type="containsText" dxfId="72" priority="7" operator="between" text="OFF">
      <formula>NOT(ISERROR(SEARCH("OFF",C68)))</formula>
    </cfRule>
  </conditionalFormatting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"/>
  <sheetViews>
    <sheetView workbookViewId="0">
      <selection activeCell="L17" sqref="L17"/>
    </sheetView>
  </sheetViews>
  <sheetFormatPr defaultColWidth="9.11111111111111" defaultRowHeight="13.8"/>
  <cols>
    <col min="1" max="1" width="4.11111111111111" style="37" customWidth="1"/>
    <col min="2" max="2" width="9.77777777777778" style="37"/>
    <col min="3" max="3" width="18.8888888888889" style="37"/>
    <col min="4" max="7" width="9.11111111111111" style="37"/>
    <col min="8" max="8" width="5.44444444444444" style="37" customWidth="1"/>
    <col min="9" max="9" width="17.7777777777778" style="37" customWidth="1"/>
    <col min="10" max="10" width="22.6666666666667" style="37" customWidth="1"/>
    <col min="11" max="11" width="9.11111111111111" style="37"/>
    <col min="12" max="12" width="5.11111111111111" style="37" customWidth="1"/>
    <col min="13" max="13" width="17.2222222222222" style="37" customWidth="1"/>
    <col min="14" max="14" width="22.5555555555556" style="37" customWidth="1"/>
    <col min="15" max="16384" width="9.11111111111111" style="37"/>
  </cols>
  <sheetData>
    <row r="1" ht="45.75" customHeight="1" spans="1:9">
      <c r="A1" s="38" t="s">
        <v>24</v>
      </c>
      <c r="B1" s="38"/>
      <c r="C1" s="38"/>
    </row>
    <row r="2" ht="14.4" spans="1:9">
      <c r="A2" s="39" t="s">
        <v>0</v>
      </c>
      <c r="B2" s="40" t="s">
        <v>2</v>
      </c>
      <c r="C2" s="40" t="s">
        <v>25</v>
      </c>
    </row>
    <row r="3" ht="14.4" spans="1:9">
      <c r="A3" s="41">
        <v>1</v>
      </c>
      <c r="B3" s="42" t="s">
        <v>11</v>
      </c>
      <c r="C3" s="43">
        <v>33.5</v>
      </c>
    </row>
    <row r="4" ht="14.4" spans="1:9">
      <c r="A4" s="44">
        <v>2</v>
      </c>
      <c r="B4" s="42" t="s">
        <v>23</v>
      </c>
      <c r="C4" s="43">
        <v>45.5</v>
      </c>
    </row>
    <row r="5" ht="14.4" spans="1:9">
      <c r="A5" s="45">
        <v>3</v>
      </c>
      <c r="B5" s="42" t="s">
        <v>10</v>
      </c>
      <c r="C5" s="43">
        <v>64.5</v>
      </c>
    </row>
    <row r="6" ht="14.4" spans="1:9">
      <c r="A6" s="45">
        <v>4</v>
      </c>
      <c r="B6" s="42" t="s">
        <v>14</v>
      </c>
      <c r="C6" s="43">
        <v>58.5</v>
      </c>
    </row>
    <row r="7" ht="14.4" spans="1:9">
      <c r="A7" s="45">
        <v>5</v>
      </c>
      <c r="B7" s="42" t="s">
        <v>13</v>
      </c>
      <c r="C7" s="43">
        <v>44.4166666666667</v>
      </c>
    </row>
    <row r="8" ht="14.4" spans="1:9">
      <c r="A8" s="45">
        <v>6</v>
      </c>
      <c r="B8" s="42" t="s">
        <v>16</v>
      </c>
      <c r="C8" s="43">
        <v>72.4166666666667</v>
      </c>
    </row>
    <row r="9" ht="14.4" spans="1:9">
      <c r="A9" s="45">
        <v>7</v>
      </c>
      <c r="B9" s="42" t="s">
        <v>21</v>
      </c>
      <c r="C9" s="43">
        <v>69.5833333333333</v>
      </c>
    </row>
    <row r="10" ht="14.4" spans="1:9">
      <c r="A10" s="45">
        <v>8</v>
      </c>
      <c r="B10" s="42" t="s">
        <v>22</v>
      </c>
      <c r="C10" s="43">
        <v>14</v>
      </c>
    </row>
    <row r="11" ht="14.4" spans="1:9">
      <c r="A11" s="45">
        <v>9</v>
      </c>
      <c r="B11" s="42" t="s">
        <v>17</v>
      </c>
      <c r="C11" s="43">
        <v>63.3333333333333</v>
      </c>
    </row>
    <row r="12" ht="14.4" spans="1:9">
      <c r="A12" s="45">
        <v>10</v>
      </c>
      <c r="B12" s="42" t="s">
        <v>20</v>
      </c>
      <c r="C12" s="43">
        <v>56</v>
      </c>
    </row>
    <row r="13" ht="14.4" spans="1:9">
      <c r="A13" s="45">
        <v>11</v>
      </c>
      <c r="B13" s="42" t="s">
        <v>18</v>
      </c>
      <c r="C13" s="43">
        <v>58.0833333333334</v>
      </c>
      <c r="I13" s="37" t="s">
        <v>26</v>
      </c>
    </row>
    <row r="14" ht="14.4" spans="1:9">
      <c r="A14" s="45">
        <v>12</v>
      </c>
      <c r="B14" s="42" t="s">
        <v>12</v>
      </c>
      <c r="C14" s="43">
        <v>37</v>
      </c>
    </row>
    <row r="15" ht="14.4" spans="1:9">
      <c r="A15" s="45">
        <v>13</v>
      </c>
      <c r="B15" s="42" t="s">
        <v>19</v>
      </c>
      <c r="C15" s="43">
        <v>44.5</v>
      </c>
    </row>
    <row r="16" ht="14.4" spans="1:9">
      <c r="A16" s="45">
        <v>14</v>
      </c>
      <c r="B16" s="40" t="s">
        <v>27</v>
      </c>
      <c r="C16" s="46">
        <v>661.333333333333</v>
      </c>
    </row>
    <row r="17" ht="14.4" spans="1:15">
      <c r="A17" s="47"/>
      <c r="B17"/>
      <c r="C17"/>
    </row>
    <row r="18" ht="14.4" spans="1:15">
      <c r="A18" s="48"/>
      <c r="B18"/>
      <c r="C18"/>
      <c r="O18" s="49"/>
    </row>
    <row r="19" ht="14.4" spans="1:15">
      <c r="A19" s="48"/>
      <c r="B19"/>
      <c r="C19"/>
    </row>
    <row r="20" ht="27.6" customHeight="1" spans="1:15">
      <c r="A20" s="48"/>
      <c r="B20"/>
      <c r="C20"/>
      <c r="H20" s="50" t="s">
        <v>28</v>
      </c>
      <c r="I20" s="51"/>
      <c r="J20" s="52"/>
      <c r="L20" s="50" t="s">
        <v>29</v>
      </c>
      <c r="M20" s="51"/>
      <c r="N20" s="52"/>
    </row>
    <row r="21" ht="14.4" spans="1:15">
      <c r="B21"/>
      <c r="C21"/>
      <c r="H21" s="53" t="s">
        <v>0</v>
      </c>
      <c r="I21" s="53" t="s">
        <v>30</v>
      </c>
      <c r="J21" s="53" t="s">
        <v>31</v>
      </c>
      <c r="L21" s="54" t="s">
        <v>0</v>
      </c>
      <c r="M21" s="55" t="s">
        <v>30</v>
      </c>
      <c r="N21" s="55" t="s">
        <v>31</v>
      </c>
    </row>
    <row r="22" spans="1:15">
      <c r="H22" s="41">
        <v>1</v>
      </c>
      <c r="I22" s="56" t="s">
        <v>32</v>
      </c>
      <c r="J22" s="57">
        <f>GETPIVOTDATA("Số Giờ",$B$2,"Tên NV","Chi")</f>
        <v>37</v>
      </c>
      <c r="L22" s="57">
        <v>1</v>
      </c>
      <c r="M22" s="58" t="s">
        <v>33</v>
      </c>
      <c r="N22" s="41">
        <f>GETPIVOTDATA("Số Giờ",$B$2,"Tên NV","Tiến")</f>
        <v>58.5</v>
      </c>
    </row>
    <row r="23" spans="1:15">
      <c r="H23" s="45">
        <v>2</v>
      </c>
      <c r="I23" s="59" t="s">
        <v>34</v>
      </c>
      <c r="J23" s="47">
        <f>GETPIVOTDATA("Số Giờ",$B$2,"Tên NV","Phấn ")</f>
        <v>33.5</v>
      </c>
      <c r="L23" s="45">
        <v>2</v>
      </c>
      <c r="M23" s="58" t="s">
        <v>35</v>
      </c>
      <c r="N23" s="60">
        <f>GETPIVOTDATA("Số Giờ",$B$2,"Tên NV","Chẩn")</f>
        <v>72.4166666666667</v>
      </c>
    </row>
    <row r="24" spans="1:15">
      <c r="H24" s="47">
        <v>3</v>
      </c>
      <c r="I24" s="59" t="s">
        <v>36</v>
      </c>
      <c r="J24" s="61">
        <f>GETPIVOTDATA("Số Giờ",$B$2,"Tên NV","Sung")</f>
        <v>64.5</v>
      </c>
      <c r="L24" s="45">
        <v>3</v>
      </c>
      <c r="M24" s="58" t="s">
        <v>37</v>
      </c>
      <c r="N24" s="60">
        <f>GETPIVOTDATA("Số Giờ",$B$2,"Tên NV","Tý")</f>
        <v>69.5833333333333</v>
      </c>
    </row>
    <row r="25" spans="1:15">
      <c r="H25" s="45">
        <v>4</v>
      </c>
      <c r="I25" s="59" t="s">
        <v>38</v>
      </c>
      <c r="J25" s="62">
        <f>GETPIVOTDATA("Số Giờ",$B$2,"Tên NV","Trân")</f>
        <v>44.4166666666667</v>
      </c>
      <c r="L25" s="45">
        <v>4</v>
      </c>
      <c r="M25" s="37" t="s">
        <v>39</v>
      </c>
      <c r="N25" s="45">
        <f>GETPIVOTDATA("Số Giờ",$B$2,"Tên NV","Quý")</f>
        <v>44.5</v>
      </c>
    </row>
    <row r="26" spans="1:15">
      <c r="H26" s="47">
        <v>5</v>
      </c>
      <c r="I26" s="59" t="s">
        <v>40</v>
      </c>
      <c r="J26" s="45">
        <f>GETPIVOTDATA("Số Giờ",$B$2,"Tên NV","Lệ")</f>
        <v>14</v>
      </c>
      <c r="L26" s="47">
        <v>5</v>
      </c>
      <c r="M26" s="58" t="s">
        <v>41</v>
      </c>
      <c r="N26" s="45">
        <f>GETPIVOTDATA("Số Giờ",$B$2,"Tên NV","Hoàng")</f>
        <v>56</v>
      </c>
    </row>
    <row r="27" spans="1:15">
      <c r="H27" s="45">
        <v>6</v>
      </c>
      <c r="I27" s="59" t="s">
        <v>42</v>
      </c>
      <c r="J27" s="47">
        <f>GETPIVOTDATA("Số Giờ",$B$2,"Tên NV","Phước")</f>
        <v>45.5</v>
      </c>
      <c r="L27" s="63">
        <v>6</v>
      </c>
      <c r="M27" s="58" t="s">
        <v>43</v>
      </c>
      <c r="N27" s="60">
        <f>GETPIVOTDATA("Số Giờ",$B$2,"Tên NV","Gia")</f>
        <v>63.3333333333333</v>
      </c>
    </row>
    <row r="28" spans="1:15">
      <c r="H28" s="61">
        <v>7</v>
      </c>
      <c r="I28" s="59"/>
      <c r="J28" s="45"/>
      <c r="L28" s="61">
        <v>7</v>
      </c>
      <c r="M28" s="59" t="s">
        <v>44</v>
      </c>
      <c r="N28" s="60">
        <f>GETPIVOTDATA("Số Giờ",$B$2,"Tên NV","Phúc")</f>
        <v>58.0833333333334</v>
      </c>
    </row>
    <row r="29" spans="1:15">
      <c r="H29" s="45">
        <v>8</v>
      </c>
      <c r="I29" s="59"/>
      <c r="J29" s="45"/>
      <c r="L29" s="45">
        <v>8</v>
      </c>
      <c r="M29" s="37"/>
      <c r="N29" s="64"/>
    </row>
    <row r="30" spans="1:15">
      <c r="H30" s="65" t="s">
        <v>45</v>
      </c>
      <c r="I30" s="66"/>
      <c r="J30" s="67">
        <f>SUM(J22:J29)</f>
        <v>238.916666666667</v>
      </c>
      <c r="L30" s="68" t="s">
        <v>46</v>
      </c>
      <c r="M30" s="69"/>
      <c r="N30" s="70">
        <f>SUM(N22:N29)</f>
        <v>422.416666666667</v>
      </c>
    </row>
  </sheetData>
  <mergeCells count="5">
    <mergeCell ref="A1:C1"/>
    <mergeCell ref="H20:J20"/>
    <mergeCell ref="L20:N20"/>
    <mergeCell ref="H30:I30"/>
    <mergeCell ref="L30:M30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47"/>
  <sheetViews>
    <sheetView showGridLines="0" tabSelected="1" zoomScale="70" zoomScaleNormal="70" workbookViewId="0">
      <selection activeCell="S19" sqref="S19"/>
    </sheetView>
  </sheetViews>
  <sheetFormatPr defaultColWidth="8.66666666666667" defaultRowHeight="13.8"/>
  <cols>
    <col min="1" max="1" width="11.5555555555556" style="18"/>
    <col min="2" max="2" width="13.5555555555556" style="19"/>
    <col min="3" max="3" width="9.11111111111111" style="19"/>
    <col min="4" max="4" width="11.1111111111111" style="19"/>
    <col min="5" max="5" width="9.77777777777778" style="19"/>
    <col min="6" max="6" width="10.4444444444444" style="18"/>
    <col min="7" max="7" width="4.66666666666667" style="19" customWidth="1"/>
    <col min="8" max="8" width="15.1111111111111" style="19" customWidth="1"/>
    <col min="9" max="13" width="8.66666666666667" style="19"/>
    <col min="14" max="14" width="11.5555555555556" style="19" customWidth="1"/>
    <col min="15" max="16384" width="8.66666666666667" style="19"/>
  </cols>
  <sheetData>
    <row r="2" spans="1:15">
      <c r="D2" s="20" t="s">
        <v>47</v>
      </c>
      <c r="E2" s="20"/>
      <c r="F2" s="21" t="s">
        <v>48</v>
      </c>
    </row>
    <row r="3" s="16" customFormat="1" ht="19.2" spans="1:15">
      <c r="A3" s="22" t="s">
        <v>2</v>
      </c>
      <c r="B3" s="23" t="s">
        <v>23</v>
      </c>
      <c r="D3" s="16">
        <f>COUNTIF(F6:F41,0)</f>
        <v>0</v>
      </c>
      <c r="F3" s="24">
        <f>COUNT(A6:A40)-D3</f>
        <v>6</v>
      </c>
      <c r="G3" s="25" t="s">
        <v>49</v>
      </c>
    </row>
    <row r="4" ht="25.5" customHeight="1" spans="1:15">
      <c r="D4" s="26" t="s">
        <v>50</v>
      </c>
      <c r="E4" s="26"/>
      <c r="F4" s="27">
        <f>SUMIF(F6:F46,"&lt;20")</f>
        <v>45.5</v>
      </c>
    </row>
    <row r="5" s="17" customFormat="1" spans="1:15">
      <c r="A5" s="28" t="s">
        <v>1</v>
      </c>
      <c r="B5" s="29" t="s">
        <v>51</v>
      </c>
      <c r="C5" s="29" t="s">
        <v>52</v>
      </c>
      <c r="D5" s="29" t="s">
        <v>53</v>
      </c>
      <c r="E5" s="29" t="s">
        <v>54</v>
      </c>
      <c r="F5" s="28" t="s">
        <v>55</v>
      </c>
      <c r="G5" s="21"/>
    </row>
    <row r="6" spans="1:15">
      <c r="A6" s="30">
        <v>46266</v>
      </c>
      <c r="B6" s="31">
        <v>0.583333333333333</v>
      </c>
      <c r="C6" s="31">
        <v>0.875</v>
      </c>
      <c r="D6" s="31"/>
      <c r="E6" s="31"/>
      <c r="F6" s="32">
        <v>7</v>
      </c>
      <c r="O6" s="33" t="s">
        <v>10</v>
      </c>
    </row>
    <row r="7" spans="1:15">
      <c r="A7" s="30">
        <v>46267</v>
      </c>
      <c r="B7" s="31">
        <v>0.583333333333333</v>
      </c>
      <c r="C7" s="31">
        <v>0.916666666666667</v>
      </c>
      <c r="D7" s="31"/>
      <c r="E7" s="31"/>
      <c r="F7" s="32">
        <v>8</v>
      </c>
      <c r="O7" s="34" t="s">
        <v>22</v>
      </c>
    </row>
    <row r="8" spans="1:15">
      <c r="A8" s="30">
        <v>46268</v>
      </c>
      <c r="B8" s="31">
        <v>0.583333333333333</v>
      </c>
      <c r="C8" s="31">
        <v>0.854166666666667</v>
      </c>
      <c r="D8" s="31"/>
      <c r="E8" s="31"/>
      <c r="F8" s="32">
        <v>6.5</v>
      </c>
      <c r="O8" s="33" t="s">
        <v>11</v>
      </c>
    </row>
    <row r="9" spans="1:15">
      <c r="A9" s="30">
        <v>46269</v>
      </c>
      <c r="B9" s="31">
        <v>0.583333333333333</v>
      </c>
      <c r="C9" s="31">
        <v>0.875</v>
      </c>
      <c r="D9" s="31"/>
      <c r="E9" s="31"/>
      <c r="F9" s="32">
        <v>7</v>
      </c>
      <c r="O9" s="34" t="s">
        <v>13</v>
      </c>
    </row>
    <row r="10" spans="1:15">
      <c r="A10" s="30">
        <v>46270</v>
      </c>
      <c r="B10" s="31">
        <v>0.583333333333333</v>
      </c>
      <c r="C10" s="31">
        <v>0.9375</v>
      </c>
      <c r="D10" s="31"/>
      <c r="E10" s="31"/>
      <c r="F10" s="32">
        <v>8.5</v>
      </c>
      <c r="O10" s="33" t="s">
        <v>14</v>
      </c>
    </row>
    <row r="11" spans="1:15">
      <c r="A11" s="30">
        <v>46271</v>
      </c>
      <c r="B11" s="31">
        <v>0.583333333333333</v>
      </c>
      <c r="C11" s="31">
        <v>0.9375</v>
      </c>
      <c r="D11" s="31"/>
      <c r="E11" s="31"/>
      <c r="F11" s="32">
        <v>8.5</v>
      </c>
      <c r="O11" s="34" t="s">
        <v>56</v>
      </c>
    </row>
    <row r="12" spans="1:15">
      <c r="A12" s="35" t="s">
        <v>57</v>
      </c>
      <c r="B12" s="31">
        <v>0.0394004120584705</v>
      </c>
      <c r="C12" s="31">
        <v>0.526881217956543</v>
      </c>
      <c r="D12" s="31"/>
      <c r="E12" s="31"/>
      <c r="F12" s="32">
        <v>45.5</v>
      </c>
      <c r="O12" s="33" t="s">
        <v>58</v>
      </c>
    </row>
    <row r="13" ht="14.4" spans="1:15">
      <c r="A13"/>
      <c r="B13"/>
      <c r="C13"/>
      <c r="D13"/>
      <c r="E13"/>
      <c r="F13"/>
      <c r="O13" s="34" t="s">
        <v>16</v>
      </c>
    </row>
    <row r="14" ht="14.4" spans="1:15">
      <c r="A14"/>
      <c r="B14"/>
      <c r="C14"/>
      <c r="D14"/>
      <c r="E14"/>
      <c r="F14"/>
      <c r="O14" s="33" t="s">
        <v>59</v>
      </c>
    </row>
    <row r="15" spans="1:15">
      <c r="A15"/>
      <c r="B15"/>
      <c r="C15"/>
      <c r="D15"/>
      <c r="E15"/>
      <c r="F15"/>
      <c r="O15" s="34" t="s">
        <v>60</v>
      </c>
    </row>
    <row r="16" spans="1:15">
      <c r="A16"/>
      <c r="B16"/>
      <c r="C16"/>
      <c r="D16"/>
      <c r="E16"/>
      <c r="F16"/>
      <c r="O16" s="33" t="s">
        <v>61</v>
      </c>
    </row>
    <row r="17" spans="1:15">
      <c r="A17"/>
      <c r="B17"/>
      <c r="C17"/>
      <c r="D17"/>
      <c r="E17"/>
      <c r="F17"/>
      <c r="O17" s="34" t="s">
        <v>62</v>
      </c>
    </row>
    <row r="18" spans="1:15">
      <c r="A18"/>
      <c r="B18"/>
      <c r="C18"/>
      <c r="D18"/>
      <c r="E18"/>
      <c r="F18"/>
      <c r="G18" s="36"/>
      <c r="H18" s="36"/>
      <c r="O18" s="33" t="s">
        <v>63</v>
      </c>
    </row>
    <row r="19" spans="1:15">
      <c r="A19"/>
      <c r="B19"/>
      <c r="C19"/>
      <c r="D19"/>
      <c r="E19"/>
      <c r="F19"/>
      <c r="O19" s="34" t="s">
        <v>64</v>
      </c>
    </row>
    <row r="20" spans="1:15">
      <c r="A20"/>
      <c r="B20"/>
      <c r="C20"/>
      <c r="D20"/>
      <c r="E20"/>
      <c r="F20"/>
      <c r="O20" s="33"/>
    </row>
    <row r="21" spans="1:15">
      <c r="A21"/>
      <c r="B21"/>
      <c r="C21"/>
      <c r="D21"/>
      <c r="E21"/>
      <c r="F21"/>
      <c r="O21" s="34"/>
    </row>
    <row r="22" spans="1:15">
      <c r="A22"/>
      <c r="B22"/>
      <c r="C22"/>
      <c r="D22"/>
      <c r="E22"/>
      <c r="F22"/>
      <c r="O22" s="33"/>
    </row>
    <row r="23" spans="1:15">
      <c r="A23"/>
      <c r="B23"/>
      <c r="C23"/>
      <c r="D23"/>
      <c r="E23"/>
      <c r="F23"/>
    </row>
    <row r="24" spans="1:15">
      <c r="A24"/>
      <c r="B24"/>
      <c r="C24"/>
      <c r="D24"/>
      <c r="E24"/>
      <c r="F24"/>
    </row>
    <row r="25" spans="1:15">
      <c r="A25"/>
      <c r="B25"/>
      <c r="C25"/>
      <c r="D25"/>
      <c r="E25"/>
      <c r="F25"/>
    </row>
    <row r="26" spans="1:15">
      <c r="A26"/>
      <c r="B26"/>
      <c r="C26"/>
      <c r="D26"/>
      <c r="E26"/>
      <c r="F26"/>
    </row>
    <row r="27" spans="1:15">
      <c r="A27"/>
      <c r="B27"/>
      <c r="C27"/>
      <c r="D27"/>
      <c r="E27"/>
      <c r="F27"/>
    </row>
    <row r="28" spans="1:15">
      <c r="A28"/>
      <c r="B28"/>
      <c r="C28"/>
      <c r="D28"/>
      <c r="E28"/>
      <c r="F28"/>
    </row>
    <row r="29" spans="1:15">
      <c r="A29"/>
      <c r="B29"/>
      <c r="C29"/>
      <c r="D29"/>
      <c r="E29"/>
      <c r="F29"/>
    </row>
    <row r="30" spans="1:15">
      <c r="A30"/>
      <c r="B30"/>
      <c r="C30"/>
      <c r="D30"/>
      <c r="E30"/>
      <c r="F30"/>
    </row>
    <row r="31" spans="1:15">
      <c r="A31"/>
      <c r="B31"/>
      <c r="C31"/>
      <c r="D31"/>
      <c r="E31"/>
      <c r="F31"/>
    </row>
    <row r="32" spans="1:15">
      <c r="A32"/>
      <c r="B32"/>
      <c r="C32"/>
      <c r="D32"/>
      <c r="E32"/>
      <c r="F32"/>
    </row>
    <row r="33" spans="1:7">
      <c r="A33"/>
      <c r="B33"/>
      <c r="C33"/>
      <c r="D33"/>
      <c r="E33"/>
      <c r="F33"/>
      <c r="G33" s="17"/>
    </row>
    <row r="34" spans="1:7">
      <c r="A34"/>
      <c r="B34"/>
      <c r="C34"/>
      <c r="D34"/>
      <c r="E34"/>
      <c r="F34"/>
    </row>
    <row r="35" spans="1:7">
      <c r="A35"/>
      <c r="B35"/>
      <c r="C35"/>
      <c r="D35"/>
      <c r="E35"/>
      <c r="F35"/>
    </row>
    <row r="36" spans="1:7">
      <c r="A36"/>
      <c r="B36"/>
      <c r="C36"/>
      <c r="D36"/>
      <c r="E36"/>
      <c r="F36"/>
    </row>
    <row r="37" spans="1:7">
      <c r="A37"/>
      <c r="B37"/>
      <c r="C37"/>
      <c r="D37"/>
      <c r="E37"/>
      <c r="F37"/>
    </row>
    <row r="38" ht="14.4" spans="1:7">
      <c r="A38"/>
      <c r="B38"/>
      <c r="C38"/>
      <c r="D38"/>
      <c r="E38"/>
      <c r="F38"/>
    </row>
    <row r="39" ht="14.4" spans="1:7">
      <c r="A39"/>
      <c r="B39"/>
      <c r="C39"/>
      <c r="D39"/>
      <c r="E39"/>
      <c r="F39"/>
    </row>
    <row r="40" ht="14.4" spans="1:7">
      <c r="A40"/>
      <c r="B40"/>
      <c r="C40"/>
      <c r="D40"/>
      <c r="E40"/>
      <c r="F40"/>
    </row>
    <row r="41" ht="14.4" spans="1:7">
      <c r="A41"/>
      <c r="B41"/>
      <c r="C41"/>
      <c r="D41"/>
      <c r="E41"/>
      <c r="F41"/>
    </row>
    <row r="42" ht="14.4" spans="1:7">
      <c r="A42"/>
      <c r="B42"/>
      <c r="C42"/>
      <c r="D42"/>
      <c r="E42"/>
      <c r="F42"/>
    </row>
    <row r="43" ht="14.4" spans="1:7">
      <c r="A43"/>
      <c r="B43"/>
      <c r="C43"/>
      <c r="D43"/>
      <c r="E43"/>
      <c r="F43"/>
    </row>
    <row r="44" ht="14.4" spans="1:7">
      <c r="A44"/>
      <c r="B44"/>
      <c r="C44"/>
      <c r="D44"/>
      <c r="E44"/>
      <c r="F44"/>
    </row>
    <row r="45" ht="14.4" spans="1:7">
      <c r="A45"/>
      <c r="B45"/>
      <c r="C45"/>
      <c r="D45"/>
      <c r="E45"/>
      <c r="F45"/>
    </row>
    <row r="46" ht="14.4" spans="1:7">
      <c r="A46"/>
      <c r="B46"/>
      <c r="C46"/>
      <c r="D46"/>
      <c r="E46"/>
      <c r="F46"/>
    </row>
    <row r="47" ht="14.4" spans="1:7">
      <c r="A47"/>
      <c r="B47"/>
      <c r="C47"/>
      <c r="D47"/>
      <c r="E47"/>
      <c r="F47"/>
    </row>
  </sheetData>
  <mergeCells count="1">
    <mergeCell ref="D4:E4"/>
  </mergeCells>
  <pageMargins left="0.7" right="0.7" top="0.75" bottom="0.75" header="0.3" footer="0.3"/>
  <pageSetup paperSize="1" orientation="portrait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36"/>
  <sheetViews>
    <sheetView zoomScale="130" zoomScaleNormal="130" workbookViewId="0">
      <selection activeCell="F11" sqref="F11"/>
    </sheetView>
  </sheetViews>
  <sheetFormatPr defaultColWidth="9" defaultRowHeight="14.4" outlineLevelCol="2"/>
  <sheetData>
    <row r="2" spans="2:3">
      <c r="B2" t="s">
        <v>0</v>
      </c>
      <c r="C2" t="s">
        <v>2</v>
      </c>
    </row>
    <row r="3" spans="2:3">
      <c r="B3">
        <v>1</v>
      </c>
      <c r="C3" t="s">
        <v>12</v>
      </c>
    </row>
    <row r="4" spans="2:3">
      <c r="B4">
        <v>2</v>
      </c>
      <c r="C4" t="s">
        <v>11</v>
      </c>
    </row>
    <row r="5" spans="2:3">
      <c r="B5">
        <v>3</v>
      </c>
      <c r="C5" t="s">
        <v>22</v>
      </c>
    </row>
    <row r="6" spans="2:3">
      <c r="B6">
        <v>4</v>
      </c>
      <c r="C6" t="s">
        <v>10</v>
      </c>
    </row>
    <row r="7" spans="2:3">
      <c r="B7">
        <v>5</v>
      </c>
      <c r="C7" t="s">
        <v>13</v>
      </c>
    </row>
    <row r="8" spans="2:3">
      <c r="B8">
        <v>6</v>
      </c>
      <c r="C8" t="s">
        <v>23</v>
      </c>
    </row>
    <row r="9" spans="2:3">
      <c r="B9">
        <v>7</v>
      </c>
      <c r="C9" t="s">
        <v>65</v>
      </c>
    </row>
    <row r="10" spans="2:3">
      <c r="B10">
        <v>8</v>
      </c>
      <c r="C10" t="s">
        <v>62</v>
      </c>
    </row>
    <row r="11" spans="2:3">
      <c r="B11">
        <v>9</v>
      </c>
      <c r="C11" t="s">
        <v>66</v>
      </c>
    </row>
    <row r="12" spans="2:3">
      <c r="B12">
        <v>10</v>
      </c>
      <c r="C12" t="s">
        <v>58</v>
      </c>
    </row>
    <row r="13" spans="2:3">
      <c r="B13">
        <v>11</v>
      </c>
      <c r="C13" t="s">
        <v>14</v>
      </c>
    </row>
    <row r="14" spans="2:3">
      <c r="B14">
        <v>12</v>
      </c>
      <c r="C14" t="s">
        <v>56</v>
      </c>
    </row>
    <row r="15" spans="2:3">
      <c r="B15">
        <v>13</v>
      </c>
      <c r="C15" t="s">
        <v>67</v>
      </c>
    </row>
    <row r="16" spans="2:3">
      <c r="B16">
        <v>14</v>
      </c>
      <c r="C16" t="s">
        <v>68</v>
      </c>
    </row>
    <row r="17" spans="2:3">
      <c r="B17">
        <v>15</v>
      </c>
      <c r="C17" t="s">
        <v>69</v>
      </c>
    </row>
    <row r="18" spans="2:3">
      <c r="B18">
        <v>16</v>
      </c>
      <c r="C18" t="s">
        <v>70</v>
      </c>
    </row>
    <row r="19" spans="2:3">
      <c r="B19">
        <v>17</v>
      </c>
      <c r="C19" t="s">
        <v>60</v>
      </c>
    </row>
    <row r="20" spans="2:3">
      <c r="B20">
        <v>18</v>
      </c>
      <c r="C20" t="s">
        <v>61</v>
      </c>
    </row>
    <row r="21" spans="2:3">
      <c r="B21">
        <v>19</v>
      </c>
      <c r="C21" t="s">
        <v>64</v>
      </c>
    </row>
    <row r="22" spans="2:3">
      <c r="B22">
        <v>20</v>
      </c>
      <c r="C22" t="s">
        <v>71</v>
      </c>
    </row>
    <row r="23" spans="2:3">
      <c r="B23">
        <v>21</v>
      </c>
      <c r="C23" t="s">
        <v>72</v>
      </c>
    </row>
    <row r="24" spans="2:3">
      <c r="B24">
        <v>22</v>
      </c>
      <c r="C24" t="s">
        <v>73</v>
      </c>
    </row>
    <row r="25" spans="2:3">
      <c r="B25">
        <v>23</v>
      </c>
      <c r="C25" t="s">
        <v>74</v>
      </c>
    </row>
    <row r="26" spans="2:3">
      <c r="B26">
        <v>24</v>
      </c>
      <c r="C26" t="s">
        <v>75</v>
      </c>
    </row>
    <row r="27" spans="2:3">
      <c r="B27">
        <v>25</v>
      </c>
      <c r="C27" t="s">
        <v>76</v>
      </c>
    </row>
    <row r="28" spans="2:3">
      <c r="B28">
        <v>26</v>
      </c>
      <c r="C28" t="s">
        <v>77</v>
      </c>
    </row>
    <row r="29" spans="2:3">
      <c r="B29">
        <v>27</v>
      </c>
      <c r="C29" t="s">
        <v>78</v>
      </c>
    </row>
    <row r="30" spans="2:3">
      <c r="B30">
        <v>28</v>
      </c>
      <c r="C30" t="s">
        <v>79</v>
      </c>
    </row>
    <row r="31" spans="2:3">
      <c r="C31" t="s">
        <v>80</v>
      </c>
    </row>
    <row r="32" spans="2:3">
      <c r="C32" t="s">
        <v>63</v>
      </c>
    </row>
    <row r="33" spans="3:3">
      <c r="C33" t="s">
        <v>81</v>
      </c>
    </row>
    <row r="34" spans="3:3">
      <c r="C34" t="s">
        <v>59</v>
      </c>
    </row>
    <row r="35" spans="3:3">
      <c r="C35" t="s">
        <v>16</v>
      </c>
    </row>
    <row r="36" spans="3:3">
      <c r="C36" t="s">
        <v>82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showGridLines="0" topLeftCell="A21" workbookViewId="0">
      <selection activeCell="A1" sqref="A1:G36"/>
    </sheetView>
  </sheetViews>
  <sheetFormatPr defaultColWidth="9" defaultRowHeight="14.4" outlineLevelCol="6"/>
  <cols>
    <col min="1" max="1" width="11" customWidth="1"/>
    <col min="2" max="2" width="7.55555555555556" customWidth="1"/>
    <col min="3" max="3" width="8" customWidth="1"/>
    <col min="4" max="4" width="10.3333333333333" customWidth="1"/>
    <col min="5" max="5" width="7.11111111111111" customWidth="1"/>
    <col min="7" max="7" width="3.66666666666667" customWidth="1"/>
  </cols>
  <sheetData>
    <row r="1" spans="1:7">
      <c r="A1" s="1"/>
      <c r="B1" s="1"/>
      <c r="C1" s="1"/>
      <c r="D1" s="2" t="s">
        <v>47</v>
      </c>
      <c r="E1" s="3" t="s">
        <v>48</v>
      </c>
      <c r="F1" s="3"/>
      <c r="G1" s="3"/>
    </row>
    <row r="2" ht="15.6" spans="1:7">
      <c r="A2" s="1" t="s">
        <v>2</v>
      </c>
      <c r="B2" s="4" t="s">
        <v>83</v>
      </c>
      <c r="C2" s="5"/>
      <c r="D2" s="5">
        <v>1</v>
      </c>
      <c r="E2" s="5"/>
      <c r="F2" s="6">
        <v>30</v>
      </c>
      <c r="G2" s="1" t="s">
        <v>84</v>
      </c>
    </row>
    <row r="3" ht="15.6" spans="1:7">
      <c r="A3" s="1"/>
      <c r="B3" s="1"/>
      <c r="C3" s="1"/>
      <c r="D3" s="1" t="s">
        <v>50</v>
      </c>
      <c r="E3" s="1"/>
      <c r="F3" s="7">
        <v>107</v>
      </c>
      <c r="G3" s="1"/>
    </row>
    <row r="4" spans="1:7">
      <c r="A4" s="8" t="s">
        <v>1</v>
      </c>
      <c r="B4" s="8" t="s">
        <v>51</v>
      </c>
      <c r="C4" s="8" t="s">
        <v>52</v>
      </c>
      <c r="D4" s="8" t="s">
        <v>53</v>
      </c>
      <c r="E4" s="8" t="s">
        <v>54</v>
      </c>
      <c r="F4" s="8" t="s">
        <v>55</v>
      </c>
      <c r="G4" s="1"/>
    </row>
    <row r="5" spans="1:7">
      <c r="A5" s="9">
        <v>45992</v>
      </c>
      <c r="B5" s="10" t="s">
        <v>85</v>
      </c>
      <c r="C5" s="10"/>
      <c r="D5" s="10"/>
      <c r="E5" s="10"/>
      <c r="F5" s="11">
        <v>0</v>
      </c>
      <c r="G5" s="1"/>
    </row>
    <row r="6" spans="1:7">
      <c r="A6" s="9">
        <v>45993</v>
      </c>
      <c r="B6" s="10" t="s">
        <v>85</v>
      </c>
      <c r="C6" s="10"/>
      <c r="D6" s="10"/>
      <c r="E6" s="10"/>
      <c r="F6" s="11">
        <v>0</v>
      </c>
      <c r="G6" s="1"/>
    </row>
    <row r="7" spans="1:7">
      <c r="A7" s="9">
        <v>45994</v>
      </c>
      <c r="B7" s="10" t="s">
        <v>85</v>
      </c>
      <c r="C7" s="10"/>
      <c r="D7" s="10"/>
      <c r="E7" s="10"/>
      <c r="F7" s="11">
        <v>0</v>
      </c>
      <c r="G7" s="1"/>
    </row>
    <row r="8" spans="1:7">
      <c r="A8" s="9">
        <v>45995</v>
      </c>
      <c r="B8" s="10" t="s">
        <v>85</v>
      </c>
      <c r="C8" s="10"/>
      <c r="D8" s="10"/>
      <c r="E8" s="10"/>
      <c r="F8" s="11">
        <v>0</v>
      </c>
      <c r="G8" s="1"/>
    </row>
    <row r="9" spans="1:7">
      <c r="A9" s="9">
        <v>45996</v>
      </c>
      <c r="B9" s="10" t="s">
        <v>85</v>
      </c>
      <c r="C9" s="10"/>
      <c r="D9" s="10"/>
      <c r="E9" s="10"/>
      <c r="F9" s="11">
        <v>0</v>
      </c>
      <c r="G9" s="1"/>
    </row>
    <row r="10" spans="1:7">
      <c r="A10" s="9">
        <v>45997</v>
      </c>
      <c r="B10" s="10" t="s">
        <v>85</v>
      </c>
      <c r="C10" s="10"/>
      <c r="D10" s="10"/>
      <c r="E10" s="10"/>
      <c r="F10" s="11">
        <v>0</v>
      </c>
      <c r="G10" s="1"/>
    </row>
    <row r="11" spans="1:7">
      <c r="A11" s="9">
        <v>45998</v>
      </c>
      <c r="B11" s="10" t="s">
        <v>85</v>
      </c>
      <c r="C11" s="10"/>
      <c r="D11" s="10"/>
      <c r="E11" s="10"/>
      <c r="F11" s="11">
        <v>0</v>
      </c>
      <c r="G11" s="1"/>
    </row>
    <row r="12" spans="1:7">
      <c r="A12" s="9">
        <v>45999</v>
      </c>
      <c r="B12" s="10" t="s">
        <v>85</v>
      </c>
      <c r="C12" s="10"/>
      <c r="D12" s="10"/>
      <c r="E12" s="10"/>
      <c r="F12" s="11">
        <v>0</v>
      </c>
      <c r="G12" s="1"/>
    </row>
    <row r="13" spans="1:7">
      <c r="A13" s="9">
        <v>46000</v>
      </c>
      <c r="B13" s="10" t="s">
        <v>85</v>
      </c>
      <c r="C13" s="10"/>
      <c r="D13" s="10"/>
      <c r="E13" s="10"/>
      <c r="F13" s="11">
        <v>0</v>
      </c>
      <c r="G13" s="1"/>
    </row>
    <row r="14" spans="1:7">
      <c r="A14" s="9">
        <v>46001</v>
      </c>
      <c r="B14" s="10" t="s">
        <v>85</v>
      </c>
      <c r="C14" s="10"/>
      <c r="D14" s="10"/>
      <c r="E14" s="10"/>
      <c r="F14" s="11">
        <v>0</v>
      </c>
      <c r="G14" s="1"/>
    </row>
    <row r="15" spans="1:7">
      <c r="A15" s="9">
        <v>46002</v>
      </c>
      <c r="B15" s="10" t="s">
        <v>85</v>
      </c>
      <c r="C15" s="10"/>
      <c r="D15" s="10"/>
      <c r="E15" s="10"/>
      <c r="F15" s="11">
        <v>0</v>
      </c>
      <c r="G15" s="1"/>
    </row>
    <row r="16" spans="1:7">
      <c r="A16" s="9">
        <v>46003</v>
      </c>
      <c r="B16" s="10" t="s">
        <v>85</v>
      </c>
      <c r="C16" s="10"/>
      <c r="D16" s="10"/>
      <c r="E16" s="10"/>
      <c r="F16" s="11">
        <v>0</v>
      </c>
      <c r="G16" s="1"/>
    </row>
    <row r="17" spans="1:7">
      <c r="A17" s="9">
        <v>46004</v>
      </c>
      <c r="B17" s="10" t="s">
        <v>85</v>
      </c>
      <c r="C17" s="10"/>
      <c r="D17" s="10"/>
      <c r="E17" s="10"/>
      <c r="F17" s="11">
        <v>0</v>
      </c>
      <c r="G17" s="1"/>
    </row>
    <row r="18" spans="1:7">
      <c r="A18" s="9">
        <v>46005</v>
      </c>
      <c r="B18" s="10" t="s">
        <v>85</v>
      </c>
      <c r="C18" s="10"/>
      <c r="D18" s="10"/>
      <c r="E18" s="10"/>
      <c r="F18" s="11">
        <v>0</v>
      </c>
      <c r="G18" s="1"/>
    </row>
    <row r="19" spans="1:7">
      <c r="A19" s="9">
        <v>46006</v>
      </c>
      <c r="B19" s="10" t="s">
        <v>85</v>
      </c>
      <c r="C19" s="10"/>
      <c r="D19" s="10"/>
      <c r="E19" s="10"/>
      <c r="F19" s="11">
        <v>0</v>
      </c>
      <c r="G19" s="1"/>
    </row>
    <row r="20" spans="1:7">
      <c r="A20" s="9">
        <v>46007</v>
      </c>
      <c r="B20" s="10" t="s">
        <v>85</v>
      </c>
      <c r="C20" s="10"/>
      <c r="D20" s="10"/>
      <c r="E20" s="10"/>
      <c r="F20" s="11">
        <v>0</v>
      </c>
      <c r="G20" s="1"/>
    </row>
    <row r="21" spans="1:7">
      <c r="A21" s="9">
        <v>46008</v>
      </c>
      <c r="B21" s="10" t="s">
        <v>85</v>
      </c>
      <c r="C21" s="10"/>
      <c r="D21" s="10"/>
      <c r="E21" s="10"/>
      <c r="F21" s="11">
        <v>0</v>
      </c>
      <c r="G21" s="1"/>
    </row>
    <row r="22" spans="1:7">
      <c r="A22" s="9">
        <v>46009</v>
      </c>
      <c r="B22" s="10" t="s">
        <v>85</v>
      </c>
      <c r="C22" s="10"/>
      <c r="D22" s="10"/>
      <c r="E22" s="10"/>
      <c r="F22" s="11">
        <v>0</v>
      </c>
      <c r="G22" s="1"/>
    </row>
    <row r="23" spans="1:7">
      <c r="A23" s="9">
        <v>46010</v>
      </c>
      <c r="B23" s="10" t="s">
        <v>85</v>
      </c>
      <c r="C23" s="10"/>
      <c r="D23" s="10"/>
      <c r="E23" s="10"/>
      <c r="F23" s="11">
        <v>0</v>
      </c>
      <c r="G23" s="1"/>
    </row>
    <row r="24" spans="1:7">
      <c r="A24" s="9">
        <v>46011</v>
      </c>
      <c r="B24" s="10" t="s">
        <v>15</v>
      </c>
      <c r="C24" s="10"/>
      <c r="D24" s="10"/>
      <c r="E24" s="10"/>
      <c r="F24" s="11">
        <v>0</v>
      </c>
      <c r="G24" s="1"/>
    </row>
    <row r="25" spans="1:7">
      <c r="A25" s="9">
        <v>46012</v>
      </c>
      <c r="B25" s="10" t="s">
        <v>85</v>
      </c>
      <c r="C25" s="10"/>
      <c r="D25" s="10"/>
      <c r="E25" s="10"/>
      <c r="F25" s="11">
        <v>0</v>
      </c>
      <c r="G25" s="1"/>
    </row>
    <row r="26" spans="1:7">
      <c r="A26" s="9">
        <v>46013</v>
      </c>
      <c r="B26" s="10" t="s">
        <v>85</v>
      </c>
      <c r="C26" s="10"/>
      <c r="D26" s="10"/>
      <c r="E26" s="10"/>
      <c r="F26" s="11">
        <v>0</v>
      </c>
      <c r="G26" s="1"/>
    </row>
    <row r="27" spans="1:7">
      <c r="A27" s="9">
        <v>46014</v>
      </c>
      <c r="B27" s="10" t="s">
        <v>86</v>
      </c>
      <c r="C27" s="10"/>
      <c r="D27" s="10"/>
      <c r="E27" s="10"/>
      <c r="F27" s="11">
        <v>0</v>
      </c>
      <c r="G27" s="1"/>
    </row>
    <row r="28" spans="1:7">
      <c r="A28" s="9">
        <v>46015</v>
      </c>
      <c r="B28" s="10" t="s">
        <v>86</v>
      </c>
      <c r="C28" s="10"/>
      <c r="D28" s="10"/>
      <c r="E28" s="10"/>
      <c r="F28" s="11">
        <v>0</v>
      </c>
      <c r="G28" s="1"/>
    </row>
    <row r="29" spans="1:7">
      <c r="A29" s="9">
        <v>46016</v>
      </c>
      <c r="B29" s="10" t="s">
        <v>86</v>
      </c>
      <c r="C29" s="10"/>
      <c r="D29" s="10"/>
      <c r="E29" s="10"/>
      <c r="F29" s="11">
        <v>0</v>
      </c>
      <c r="G29" s="1"/>
    </row>
    <row r="30" spans="1:7">
      <c r="A30" s="9">
        <v>46017</v>
      </c>
      <c r="B30" s="10" t="s">
        <v>86</v>
      </c>
      <c r="C30" s="10"/>
      <c r="D30" s="10"/>
      <c r="E30" s="10"/>
      <c r="F30" s="11">
        <v>0</v>
      </c>
      <c r="G30" s="1"/>
    </row>
    <row r="31" spans="1:7">
      <c r="A31" s="9">
        <v>46018</v>
      </c>
      <c r="B31" s="10" t="s">
        <v>86</v>
      </c>
      <c r="C31" s="10"/>
      <c r="D31" s="10"/>
      <c r="E31" s="10"/>
      <c r="F31" s="11">
        <v>0</v>
      </c>
      <c r="G31" s="1"/>
    </row>
    <row r="32" spans="1:7">
      <c r="A32" s="9">
        <v>46019</v>
      </c>
      <c r="B32" s="10" t="s">
        <v>86</v>
      </c>
      <c r="C32" s="10"/>
      <c r="D32" s="10"/>
      <c r="E32" s="10"/>
      <c r="F32" s="11">
        <v>0</v>
      </c>
      <c r="G32" s="1"/>
    </row>
    <row r="33" spans="1:7">
      <c r="A33" s="9">
        <v>46020</v>
      </c>
      <c r="B33" s="10" t="s">
        <v>86</v>
      </c>
      <c r="C33" s="10"/>
      <c r="D33" s="10"/>
      <c r="E33" s="10"/>
      <c r="F33" s="11">
        <v>0</v>
      </c>
      <c r="G33" s="1"/>
    </row>
    <row r="34" spans="1:7">
      <c r="A34" s="9">
        <v>46021</v>
      </c>
      <c r="B34" s="10" t="s">
        <v>87</v>
      </c>
      <c r="C34" s="10"/>
      <c r="D34" s="10"/>
      <c r="E34" s="10"/>
      <c r="F34" s="11">
        <v>0</v>
      </c>
      <c r="G34" s="1"/>
    </row>
    <row r="35" ht="15.15" spans="1:7">
      <c r="A35" s="9">
        <v>46022</v>
      </c>
      <c r="B35" s="10" t="s">
        <v>87</v>
      </c>
      <c r="C35" s="10"/>
      <c r="D35" s="10"/>
      <c r="E35" s="10"/>
      <c r="F35" s="12"/>
      <c r="G35" s="1"/>
    </row>
    <row r="36" ht="16.35" spans="1:7">
      <c r="A36" s="13" t="s">
        <v>57</v>
      </c>
      <c r="B36" s="14"/>
      <c r="C36" s="14"/>
      <c r="D36" s="14"/>
      <c r="E36" s="14"/>
      <c r="F36" s="15">
        <v>107</v>
      </c>
      <c r="G36" s="1"/>
    </row>
  </sheetData>
  <mergeCells count="32">
    <mergeCell ref="E1:G1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TimeSheet</vt:lpstr>
      <vt:lpstr>Tổng NV</vt:lpstr>
      <vt:lpstr>Tổng từng NV</vt:lpstr>
      <vt:lpstr>Danh sách NV</vt:lpstr>
      <vt:lpstr>VU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 Hanh Travel</cp:lastModifiedBy>
  <dcterms:created xsi:type="dcterms:W3CDTF">2015-06-05T18:17:00Z</dcterms:created>
  <dcterms:modified xsi:type="dcterms:W3CDTF">2026-09-07T12:22:15Z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5F0D58C2E06B4FCCBDBDF94B67C2F3AF_12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